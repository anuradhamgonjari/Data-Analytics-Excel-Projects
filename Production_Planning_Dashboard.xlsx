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1.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Data_Analytics\Excel\"/>
    </mc:Choice>
  </mc:AlternateContent>
  <xr:revisionPtr revIDLastSave="0" documentId="13_ncr:1_{A2B21CEC-3826-4CF9-A541-75DC00287D0A}" xr6:coauthVersionLast="47" xr6:coauthVersionMax="47" xr10:uidLastSave="{00000000-0000-0000-0000-000000000000}"/>
  <bookViews>
    <workbookView xWindow="-108" yWindow="-108" windowWidth="23256" windowHeight="12456" activeTab="2" xr2:uid="{A9C2CB26-1DAD-4AA3-A3CB-7025999964FA}"/>
  </bookViews>
  <sheets>
    <sheet name="Production_Inventory_Raw_Data" sheetId="2" r:id="rId1"/>
    <sheet name="Sheet2" sheetId="3" r:id="rId2"/>
    <sheet name="Dashboard" sheetId="1" r:id="rId3"/>
  </sheets>
  <definedNames>
    <definedName name="_xlcn.WorksheetConnection_Production_Planning_Dashboard.xlsxProduction_Inventory_Raw_Data1" hidden="1">Production_Inventory_Raw_Data[]</definedName>
    <definedName name="ExternalData_1" localSheetId="0" hidden="1">Production_Inventory_Raw_Data!$A$1:$L$117</definedName>
    <definedName name="Slicer_Category">#N/A</definedName>
    <definedName name="Slicer_Product_Name">#N/A</definedName>
    <definedName name="Slicer_Region">#N/A</definedName>
  </definedNames>
  <calcPr calcId="191029"/>
  <pivotCaches>
    <pivotCache cacheId="18" r:id="rId4"/>
    <pivotCache cacheId="2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ion_Inventory_Raw_Data" name="Production_Inventory_Raw_Data" connection="WorksheetConnection_Production_Planning_Dashboard.xlsx!Production_Inventory_Raw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1" l="1"/>
  <c r="F118" i="2"/>
  <c r="K118" i="2"/>
  <c r="I118" i="2"/>
  <c r="G118" i="2"/>
  <c r="N117" i="2"/>
  <c r="N116" i="2"/>
  <c r="N115" i="2"/>
  <c r="N114" i="2"/>
  <c r="N113" i="2"/>
  <c r="N112" i="2"/>
  <c r="N111" i="2"/>
  <c r="N110" i="2"/>
  <c r="N109" i="2"/>
  <c r="N108" i="2"/>
  <c r="N107" i="2"/>
  <c r="N106" i="2"/>
  <c r="N105" i="2"/>
  <c r="N104" i="2"/>
  <c r="N103" i="2"/>
  <c r="N102" i="2"/>
  <c r="N101" i="2"/>
  <c r="N100" i="2"/>
  <c r="N99" i="2"/>
  <c r="N98" i="2"/>
  <c r="N97" i="2"/>
  <c r="N96" i="2"/>
  <c r="N95" i="2"/>
  <c r="N94" i="2"/>
  <c r="N93" i="2"/>
  <c r="N92" i="2"/>
  <c r="N91" i="2"/>
  <c r="N90" i="2"/>
  <c r="N89" i="2"/>
  <c r="N88" i="2"/>
  <c r="N87" i="2"/>
  <c r="N86" i="2"/>
  <c r="N85" i="2"/>
  <c r="N84" i="2"/>
  <c r="N83" i="2"/>
  <c r="N82" i="2"/>
  <c r="N81" i="2"/>
  <c r="N80" i="2"/>
  <c r="N79" i="2"/>
  <c r="N78" i="2"/>
  <c r="N77" i="2"/>
  <c r="N76" i="2"/>
  <c r="N75" i="2"/>
  <c r="N74" i="2"/>
  <c r="N73" i="2"/>
  <c r="N72" i="2"/>
  <c r="N71" i="2"/>
  <c r="N70" i="2"/>
  <c r="N69" i="2"/>
  <c r="N68" i="2"/>
  <c r="N67" i="2"/>
  <c r="N66" i="2"/>
  <c r="N65" i="2"/>
  <c r="N64" i="2"/>
  <c r="N63" i="2"/>
  <c r="N62" i="2"/>
  <c r="N61" i="2"/>
  <c r="N60" i="2"/>
  <c r="N59" i="2"/>
  <c r="N58" i="2"/>
  <c r="N57" i="2"/>
  <c r="N56" i="2"/>
  <c r="N55" i="2"/>
  <c r="N54" i="2"/>
  <c r="N53" i="2"/>
  <c r="N52" i="2"/>
  <c r="N51" i="2"/>
  <c r="N50" i="2"/>
  <c r="N49" i="2"/>
  <c r="N48" i="2"/>
  <c r="N47" i="2"/>
  <c r="N46" i="2"/>
  <c r="N45" i="2"/>
  <c r="N44" i="2"/>
  <c r="N43" i="2"/>
  <c r="N42" i="2"/>
  <c r="N41" i="2"/>
  <c r="N40" i="2"/>
  <c r="N39" i="2"/>
  <c r="N38" i="2"/>
  <c r="N37" i="2"/>
  <c r="N36" i="2"/>
  <c r="N35" i="2"/>
  <c r="N34" i="2"/>
  <c r="N33" i="2"/>
  <c r="N32" i="2"/>
  <c r="N31" i="2"/>
  <c r="N30" i="2"/>
  <c r="N13" i="2"/>
  <c r="N12" i="2"/>
  <c r="N11" i="2"/>
  <c r="N10" i="2"/>
  <c r="N9" i="2"/>
  <c r="N8" i="2"/>
  <c r="N7" i="2"/>
  <c r="N6" i="2"/>
  <c r="N5" i="2"/>
  <c r="N4" i="2"/>
  <c r="N3" i="2"/>
  <c r="M2" i="2"/>
  <c r="N2" i="2" s="1"/>
  <c r="M3" i="2"/>
  <c r="M4" i="2"/>
  <c r="M5" i="2"/>
  <c r="M6" i="2"/>
  <c r="M7" i="2"/>
  <c r="M8" i="2"/>
  <c r="M9" i="2"/>
  <c r="M10" i="2"/>
  <c r="M11" i="2"/>
  <c r="M12" i="2"/>
  <c r="M13" i="2"/>
  <c r="M14" i="2"/>
  <c r="N14" i="2" s="1"/>
  <c r="M15" i="2"/>
  <c r="N15" i="2" s="1"/>
  <c r="M16" i="2"/>
  <c r="N16" i="2" s="1"/>
  <c r="M17" i="2"/>
  <c r="N17" i="2" s="1"/>
  <c r="M18" i="2"/>
  <c r="N18" i="2" s="1"/>
  <c r="M19" i="2"/>
  <c r="N19" i="2" s="1"/>
  <c r="M20" i="2"/>
  <c r="N20" i="2" s="1"/>
  <c r="M21" i="2"/>
  <c r="N21" i="2" s="1"/>
  <c r="M22" i="2"/>
  <c r="N22" i="2" s="1"/>
  <c r="M23" i="2"/>
  <c r="N23" i="2" s="1"/>
  <c r="M24" i="2"/>
  <c r="N24" i="2" s="1"/>
  <c r="M25" i="2"/>
  <c r="N25" i="2" s="1"/>
  <c r="M26" i="2"/>
  <c r="N26" i="2" s="1"/>
  <c r="M27" i="2"/>
  <c r="N27" i="2" s="1"/>
  <c r="M28" i="2"/>
  <c r="N28" i="2" s="1"/>
  <c r="M29" i="2"/>
  <c r="N29" i="2" s="1"/>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C8D727-DDB7-47EB-B7D3-681D2F8CA03C}" keepAlive="1" name="Query - Production_Inventory_Raw_Data" description="Connection to the 'Production_Inventory_Raw_Data' query in the workbook." type="5" refreshedVersion="8" background="1" saveData="1">
    <dbPr connection="Provider=Microsoft.Mashup.OleDb.1;Data Source=$Workbook$;Location=Production_Inventory_Raw_Data;Extended Properties=&quot;&quot;" command="SELECT * FROM [Production_Inventory_Raw_Data]"/>
  </connection>
  <connection id="2" xr16:uid="{E89D4172-CC59-4DB7-B290-3DFF04E7F4A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1608EA8-647D-47AE-819B-6E0E4A2E435A}" name="WorksheetConnection_Production_Planning_Dashboard.xlsx!Production_Inventory_Raw_Data" type="102" refreshedVersion="8" minRefreshableVersion="5">
    <extLst>
      <ext xmlns:x15="http://schemas.microsoft.com/office/spreadsheetml/2010/11/main" uri="{DE250136-89BD-433C-8126-D09CA5730AF9}">
        <x15:connection id="Production_Inventory_Raw_Data" autoDelete="1">
          <x15:rangePr sourceName="_xlcn.WorksheetConnection_Production_Planning_Dashboard.xlsxProduction_Inventory_Raw_Data1"/>
        </x15:connection>
      </ext>
    </extLst>
  </connection>
</connections>
</file>

<file path=xl/sharedStrings.xml><?xml version="1.0" encoding="utf-8"?>
<sst xmlns="http://schemas.openxmlformats.org/spreadsheetml/2006/main" count="762" uniqueCount="57">
  <si>
    <t>Date</t>
  </si>
  <si>
    <t>SKU</t>
  </si>
  <si>
    <t>Product Name</t>
  </si>
  <si>
    <t>Category</t>
  </si>
  <si>
    <t>Region</t>
  </si>
  <si>
    <t>Forecast Demand</t>
  </si>
  <si>
    <t>Actual Sales</t>
  </si>
  <si>
    <t>Opening Stock</t>
  </si>
  <si>
    <t>Production Quantity</t>
  </si>
  <si>
    <t>Closing Stock</t>
  </si>
  <si>
    <t>Inventory Status</t>
  </si>
  <si>
    <t>Month Name</t>
  </si>
  <si>
    <t>P002</t>
  </si>
  <si>
    <t>Keyboard</t>
  </si>
  <si>
    <t>Accessories</t>
  </si>
  <si>
    <t>North</t>
  </si>
  <si>
    <t>High Stock</t>
  </si>
  <si>
    <t>February</t>
  </si>
  <si>
    <t>P009</t>
  </si>
  <si>
    <t>Router</t>
  </si>
  <si>
    <t>Networking</t>
  </si>
  <si>
    <t>Normal</t>
  </si>
  <si>
    <t>January</t>
  </si>
  <si>
    <t>P004</t>
  </si>
  <si>
    <t>Monitor</t>
  </si>
  <si>
    <t>Electronics</t>
  </si>
  <si>
    <t>South</t>
  </si>
  <si>
    <t>Low Stock</t>
  </si>
  <si>
    <t>May</t>
  </si>
  <si>
    <t>March</t>
  </si>
  <si>
    <t>P003</t>
  </si>
  <si>
    <t>Mouse</t>
  </si>
  <si>
    <t>P006</t>
  </si>
  <si>
    <t>Scanner</t>
  </si>
  <si>
    <t>Office Equipment</t>
  </si>
  <si>
    <t>East</t>
  </si>
  <si>
    <t>April</t>
  </si>
  <si>
    <t>P010</t>
  </si>
  <si>
    <t>Camera</t>
  </si>
  <si>
    <t>P007</t>
  </si>
  <si>
    <t>Tablet</t>
  </si>
  <si>
    <t>June</t>
  </si>
  <si>
    <t>P005</t>
  </si>
  <si>
    <t>Printer</t>
  </si>
  <si>
    <t>P008</t>
  </si>
  <si>
    <t>Headphones</t>
  </si>
  <si>
    <t>West</t>
  </si>
  <si>
    <t>P001</t>
  </si>
  <si>
    <t>Laptop</t>
  </si>
  <si>
    <t>Safety stock</t>
  </si>
  <si>
    <t>Required Production</t>
  </si>
  <si>
    <t>Row Labels</t>
  </si>
  <si>
    <t>Grand Total</t>
  </si>
  <si>
    <t>Sum of Forecast Demand</t>
  </si>
  <si>
    <t>Sum of Actual Sales</t>
  </si>
  <si>
    <t>Sum of Production Quantity</t>
  </si>
  <si>
    <t>Count of SKU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</si>
</sst>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entury Gothic"/>
      <family val="2"/>
      <scheme val="minor"/>
    </font>
    <font>
      <b/>
      <sz val="11"/>
      <color theme="1"/>
      <name val="Century Gothic"/>
      <family val="2"/>
      <scheme val="minor"/>
    </font>
  </fonts>
  <fills count="2">
    <fill>
      <patternFill patternType="none"/>
    </fill>
    <fill>
      <patternFill patternType="gray125"/>
    </fill>
  </fills>
  <borders count="2">
    <border>
      <left/>
      <right/>
      <top/>
      <bottom/>
      <diagonal/>
    </border>
    <border>
      <left/>
      <right/>
      <top style="double">
        <color theme="9"/>
      </top>
      <bottom style="thin">
        <color theme="9" tint="0.39997558519241921"/>
      </bottom>
      <diagonal/>
    </border>
  </borders>
  <cellStyleXfs count="1">
    <xf numFmtId="0" fontId="0" fillId="0" borderId="0"/>
  </cellStyleXfs>
  <cellXfs count="6">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 fillId="0" borderId="1" xfId="0" applyFont="1" applyBorder="1"/>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[Production_Planning_Dashboard.xlsx]Sheet2!PivotTable4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Sheet2!$N$3</c:f>
              <c:strCache>
                <c:ptCount val="1"/>
                <c:pt idx="0">
                  <c:v>Sum of Forecast Demand</c:v>
                </c:pt>
              </c:strCache>
            </c:strRef>
          </c:tx>
          <c:spPr>
            <a:solidFill>
              <a:schemeClr val="accent1"/>
            </a:solidFill>
            <a:ln>
              <a:noFill/>
            </a:ln>
            <a:effectLst/>
          </c:spPr>
          <c:invertIfNegative val="0"/>
          <c:cat>
            <c:strRef>
              <c:f>Sheet2!$M$4:$M$10</c:f>
              <c:strCache>
                <c:ptCount val="6"/>
                <c:pt idx="0">
                  <c:v>January</c:v>
                </c:pt>
                <c:pt idx="1">
                  <c:v>February</c:v>
                </c:pt>
                <c:pt idx="2">
                  <c:v>March</c:v>
                </c:pt>
                <c:pt idx="3">
                  <c:v>April</c:v>
                </c:pt>
                <c:pt idx="4">
                  <c:v>May</c:v>
                </c:pt>
                <c:pt idx="5">
                  <c:v>June</c:v>
                </c:pt>
              </c:strCache>
            </c:strRef>
          </c:cat>
          <c:val>
            <c:numRef>
              <c:f>Sheet2!$N$4:$N$10</c:f>
              <c:numCache>
                <c:formatCode>General</c:formatCode>
                <c:ptCount val="6"/>
                <c:pt idx="0">
                  <c:v>10565</c:v>
                </c:pt>
                <c:pt idx="1">
                  <c:v>13817</c:v>
                </c:pt>
                <c:pt idx="2">
                  <c:v>11678</c:v>
                </c:pt>
                <c:pt idx="3">
                  <c:v>10080</c:v>
                </c:pt>
                <c:pt idx="4">
                  <c:v>12485</c:v>
                </c:pt>
                <c:pt idx="5">
                  <c:v>15211</c:v>
                </c:pt>
              </c:numCache>
            </c:numRef>
          </c:val>
          <c:extLst>
            <c:ext xmlns:c16="http://schemas.microsoft.com/office/drawing/2014/chart" uri="{C3380CC4-5D6E-409C-BE32-E72D297353CC}">
              <c16:uniqueId val="{00000000-729D-4A65-AE0D-D206F46596C1}"/>
            </c:ext>
          </c:extLst>
        </c:ser>
        <c:ser>
          <c:idx val="1"/>
          <c:order val="1"/>
          <c:tx>
            <c:strRef>
              <c:f>Sheet2!$O$3</c:f>
              <c:strCache>
                <c:ptCount val="1"/>
                <c:pt idx="0">
                  <c:v>Sum of Production Quantity</c:v>
                </c:pt>
              </c:strCache>
            </c:strRef>
          </c:tx>
          <c:spPr>
            <a:solidFill>
              <a:schemeClr val="accent2"/>
            </a:solidFill>
            <a:ln>
              <a:noFill/>
            </a:ln>
            <a:effectLst/>
          </c:spPr>
          <c:invertIfNegative val="0"/>
          <c:cat>
            <c:strRef>
              <c:f>Sheet2!$M$4:$M$10</c:f>
              <c:strCache>
                <c:ptCount val="6"/>
                <c:pt idx="0">
                  <c:v>January</c:v>
                </c:pt>
                <c:pt idx="1">
                  <c:v>February</c:v>
                </c:pt>
                <c:pt idx="2">
                  <c:v>March</c:v>
                </c:pt>
                <c:pt idx="3">
                  <c:v>April</c:v>
                </c:pt>
                <c:pt idx="4">
                  <c:v>May</c:v>
                </c:pt>
                <c:pt idx="5">
                  <c:v>June</c:v>
                </c:pt>
              </c:strCache>
            </c:strRef>
          </c:cat>
          <c:val>
            <c:numRef>
              <c:f>Sheet2!$O$4:$O$10</c:f>
              <c:numCache>
                <c:formatCode>General</c:formatCode>
                <c:ptCount val="6"/>
                <c:pt idx="0">
                  <c:v>9537</c:v>
                </c:pt>
                <c:pt idx="1">
                  <c:v>10278</c:v>
                </c:pt>
                <c:pt idx="2">
                  <c:v>8397</c:v>
                </c:pt>
                <c:pt idx="3">
                  <c:v>8348</c:v>
                </c:pt>
                <c:pt idx="4">
                  <c:v>9835</c:v>
                </c:pt>
                <c:pt idx="5">
                  <c:v>12038</c:v>
                </c:pt>
              </c:numCache>
            </c:numRef>
          </c:val>
          <c:extLst>
            <c:ext xmlns:c16="http://schemas.microsoft.com/office/drawing/2014/chart" uri="{C3380CC4-5D6E-409C-BE32-E72D297353CC}">
              <c16:uniqueId val="{00000001-729D-4A65-AE0D-D206F46596C1}"/>
            </c:ext>
          </c:extLst>
        </c:ser>
        <c:dLbls>
          <c:showLegendKey val="0"/>
          <c:showVal val="0"/>
          <c:showCatName val="0"/>
          <c:showSerName val="0"/>
          <c:showPercent val="0"/>
          <c:showBubbleSize val="0"/>
        </c:dLbls>
        <c:gapWidth val="219"/>
        <c:overlap val="-27"/>
        <c:axId val="212570304"/>
        <c:axId val="1094834544"/>
      </c:barChart>
      <c:catAx>
        <c:axId val="21257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834544"/>
        <c:crosses val="autoZero"/>
        <c:auto val="1"/>
        <c:lblAlgn val="ctr"/>
        <c:lblOffset val="100"/>
        <c:noMultiLvlLbl val="0"/>
      </c:catAx>
      <c:valAx>
        <c:axId val="109483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7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[Production_Planning_Dashboard.xlsx]Sheet2!PivotTable2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Sheet2!$G$3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Sheet2!$F$4:$F$7</c:f>
              <c:strCache>
                <c:ptCount val="3"/>
                <c:pt idx="0">
                  <c:v>High Stock</c:v>
                </c:pt>
                <c:pt idx="1">
                  <c:v>Low Stock</c:v>
                </c:pt>
                <c:pt idx="2">
                  <c:v>Normal</c:v>
                </c:pt>
              </c:strCache>
            </c:strRef>
          </c:cat>
          <c:val>
            <c:numRef>
              <c:f>Sheet2!$G$4:$G$7</c:f>
              <c:numCache>
                <c:formatCode>General</c:formatCode>
                <c:ptCount val="3"/>
                <c:pt idx="0">
                  <c:v>53</c:v>
                </c:pt>
                <c:pt idx="1">
                  <c:v>38</c:v>
                </c:pt>
                <c:pt idx="2">
                  <c:v>25</c:v>
                </c:pt>
              </c:numCache>
            </c:numRef>
          </c:val>
          <c:extLst>
            <c:ext xmlns:c16="http://schemas.microsoft.com/office/drawing/2014/chart" uri="{C3380CC4-5D6E-409C-BE32-E72D297353CC}">
              <c16:uniqueId val="{00000000-7DCD-4538-85CD-4AC072E83AB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[Production_Planning_Dashboard.xlsx]Sheet2!PivotTable5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Sheet2!$Q$3</c:f>
              <c:strCache>
                <c:ptCount val="1"/>
                <c:pt idx="0">
                  <c:v>Total</c:v>
                </c:pt>
              </c:strCache>
            </c:strRef>
          </c:tx>
          <c:spPr>
            <a:solidFill>
              <a:schemeClr val="accent1"/>
            </a:solidFill>
            <a:ln>
              <a:noFill/>
            </a:ln>
            <a:effectLst/>
          </c:spPr>
          <c:invertIfNegative val="0"/>
          <c:cat>
            <c:strRef>
              <c:f>Sheet2!$P$4:$P$14</c:f>
              <c:strCache>
                <c:ptCount val="10"/>
                <c:pt idx="0">
                  <c:v>Camera</c:v>
                </c:pt>
                <c:pt idx="1">
                  <c:v>Headphones</c:v>
                </c:pt>
                <c:pt idx="2">
                  <c:v>Keyboard</c:v>
                </c:pt>
                <c:pt idx="3">
                  <c:v>Laptop</c:v>
                </c:pt>
                <c:pt idx="4">
                  <c:v>Monitor</c:v>
                </c:pt>
                <c:pt idx="5">
                  <c:v>Mouse</c:v>
                </c:pt>
                <c:pt idx="6">
                  <c:v>Printer</c:v>
                </c:pt>
                <c:pt idx="7">
                  <c:v>Router</c:v>
                </c:pt>
                <c:pt idx="8">
                  <c:v>Scanner</c:v>
                </c:pt>
                <c:pt idx="9">
                  <c:v>Tablet</c:v>
                </c:pt>
              </c:strCache>
            </c:strRef>
          </c:cat>
          <c:val>
            <c:numRef>
              <c:f>Sheet2!$Q$4:$Q$14</c:f>
              <c:numCache>
                <c:formatCode>General</c:formatCode>
                <c:ptCount val="10"/>
                <c:pt idx="0">
                  <c:v>5640</c:v>
                </c:pt>
                <c:pt idx="1">
                  <c:v>6427</c:v>
                </c:pt>
                <c:pt idx="2">
                  <c:v>7211</c:v>
                </c:pt>
                <c:pt idx="3">
                  <c:v>3418</c:v>
                </c:pt>
                <c:pt idx="4">
                  <c:v>8657</c:v>
                </c:pt>
                <c:pt idx="5">
                  <c:v>5094</c:v>
                </c:pt>
                <c:pt idx="6">
                  <c:v>7313</c:v>
                </c:pt>
                <c:pt idx="7">
                  <c:v>8097</c:v>
                </c:pt>
                <c:pt idx="8">
                  <c:v>3133</c:v>
                </c:pt>
                <c:pt idx="9">
                  <c:v>8587</c:v>
                </c:pt>
              </c:numCache>
            </c:numRef>
          </c:val>
          <c:extLst>
            <c:ext xmlns:c16="http://schemas.microsoft.com/office/drawing/2014/chart" uri="{C3380CC4-5D6E-409C-BE32-E72D297353CC}">
              <c16:uniqueId val="{00000000-4572-4099-97D1-DEA38232E26F}"/>
            </c:ext>
          </c:extLst>
        </c:ser>
        <c:dLbls>
          <c:showLegendKey val="0"/>
          <c:showVal val="0"/>
          <c:showCatName val="0"/>
          <c:showSerName val="0"/>
          <c:showPercent val="0"/>
          <c:showBubbleSize val="0"/>
        </c:dLbls>
        <c:gapWidth val="182"/>
        <c:axId val="223104976"/>
        <c:axId val="233108368"/>
      </c:barChart>
      <c:catAx>
        <c:axId val="223104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108368"/>
        <c:crosses val="autoZero"/>
        <c:auto val="1"/>
        <c:lblAlgn val="ctr"/>
        <c:lblOffset val="100"/>
        <c:noMultiLvlLbl val="0"/>
      </c:catAx>
      <c:valAx>
        <c:axId val="233108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10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[Production_Planning_Dashboard.xlsx]Sheet2!PivotTable3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Sheet2!$J$3</c:f>
              <c:strCache>
                <c:ptCount val="1"/>
                <c:pt idx="0">
                  <c:v>Sum of Actual Sales</c:v>
                </c:pt>
              </c:strCache>
            </c:strRef>
          </c:tx>
          <c:spPr>
            <a:solidFill>
              <a:schemeClr val="accent1"/>
            </a:solidFill>
            <a:ln>
              <a:noFill/>
            </a:ln>
            <a:effectLst/>
          </c:spPr>
          <c:invertIfNegative val="0"/>
          <c:cat>
            <c:strRef>
              <c:f>Sheet2!$I$4:$I$8</c:f>
              <c:strCache>
                <c:ptCount val="4"/>
                <c:pt idx="0">
                  <c:v>East</c:v>
                </c:pt>
                <c:pt idx="1">
                  <c:v>North</c:v>
                </c:pt>
                <c:pt idx="2">
                  <c:v>South</c:v>
                </c:pt>
                <c:pt idx="3">
                  <c:v>West</c:v>
                </c:pt>
              </c:strCache>
            </c:strRef>
          </c:cat>
          <c:val>
            <c:numRef>
              <c:f>Sheet2!$J$4:$J$8</c:f>
              <c:numCache>
                <c:formatCode>General</c:formatCode>
                <c:ptCount val="4"/>
                <c:pt idx="0">
                  <c:v>13876</c:v>
                </c:pt>
                <c:pt idx="1">
                  <c:v>16529</c:v>
                </c:pt>
                <c:pt idx="2">
                  <c:v>14741</c:v>
                </c:pt>
                <c:pt idx="3">
                  <c:v>18431</c:v>
                </c:pt>
              </c:numCache>
            </c:numRef>
          </c:val>
          <c:extLst>
            <c:ext xmlns:c16="http://schemas.microsoft.com/office/drawing/2014/chart" uri="{C3380CC4-5D6E-409C-BE32-E72D297353CC}">
              <c16:uniqueId val="{00000000-B6D5-458B-B459-19C71BF89597}"/>
            </c:ext>
          </c:extLst>
        </c:ser>
        <c:ser>
          <c:idx val="1"/>
          <c:order val="1"/>
          <c:tx>
            <c:strRef>
              <c:f>Sheet2!$K$3</c:f>
              <c:strCache>
                <c:ptCount val="1"/>
                <c:pt idx="0">
                  <c:v>Sum of Production Quantity</c:v>
                </c:pt>
              </c:strCache>
            </c:strRef>
          </c:tx>
          <c:spPr>
            <a:solidFill>
              <a:schemeClr val="accent2"/>
            </a:solidFill>
            <a:ln>
              <a:noFill/>
            </a:ln>
            <a:effectLst/>
          </c:spPr>
          <c:invertIfNegative val="0"/>
          <c:cat>
            <c:strRef>
              <c:f>Sheet2!$I$4:$I$8</c:f>
              <c:strCache>
                <c:ptCount val="4"/>
                <c:pt idx="0">
                  <c:v>East</c:v>
                </c:pt>
                <c:pt idx="1">
                  <c:v>North</c:v>
                </c:pt>
                <c:pt idx="2">
                  <c:v>South</c:v>
                </c:pt>
                <c:pt idx="3">
                  <c:v>West</c:v>
                </c:pt>
              </c:strCache>
            </c:strRef>
          </c:cat>
          <c:val>
            <c:numRef>
              <c:f>Sheet2!$K$4:$K$8</c:f>
              <c:numCache>
                <c:formatCode>General</c:formatCode>
                <c:ptCount val="4"/>
                <c:pt idx="0">
                  <c:v>15819</c:v>
                </c:pt>
                <c:pt idx="1">
                  <c:v>16360</c:v>
                </c:pt>
                <c:pt idx="2">
                  <c:v>13186</c:v>
                </c:pt>
                <c:pt idx="3">
                  <c:v>13068</c:v>
                </c:pt>
              </c:numCache>
            </c:numRef>
          </c:val>
          <c:extLst>
            <c:ext xmlns:c16="http://schemas.microsoft.com/office/drawing/2014/chart" uri="{C3380CC4-5D6E-409C-BE32-E72D297353CC}">
              <c16:uniqueId val="{00000001-B6D5-458B-B459-19C71BF89597}"/>
            </c:ext>
          </c:extLst>
        </c:ser>
        <c:dLbls>
          <c:showLegendKey val="0"/>
          <c:showVal val="0"/>
          <c:showCatName val="0"/>
          <c:showSerName val="0"/>
          <c:showPercent val="0"/>
          <c:showBubbleSize val="0"/>
        </c:dLbls>
        <c:gapWidth val="219"/>
        <c:overlap val="-27"/>
        <c:axId val="2056485024"/>
        <c:axId val="233098288"/>
      </c:barChart>
      <c:catAx>
        <c:axId val="205648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098288"/>
        <c:crosses val="autoZero"/>
        <c:auto val="1"/>
        <c:lblAlgn val="ctr"/>
        <c:lblOffset val="100"/>
        <c:noMultiLvlLbl val="0"/>
      </c:catAx>
      <c:valAx>
        <c:axId val="23309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48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[Production_Planning_Dashboard.xlsx]Sheet2!PivotTable1</c:name>
    <c:fmtId val="4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Sheet2!$B$3</c:f>
              <c:strCache>
                <c:ptCount val="1"/>
                <c:pt idx="0">
                  <c:v>Sum of Forecast Demand</c:v>
                </c:pt>
              </c:strCache>
            </c:strRef>
          </c:tx>
          <c:spPr>
            <a:solidFill>
              <a:schemeClr val="accent1"/>
            </a:solidFill>
            <a:ln>
              <a:noFill/>
            </a:ln>
            <a:effectLst/>
            <a:sp3d/>
          </c:spPr>
          <c:invertIfNegative val="0"/>
          <c:cat>
            <c:strRef>
              <c:f>Sheet2!$A$4:$A$14</c:f>
              <c:strCache>
                <c:ptCount val="10"/>
                <c:pt idx="0">
                  <c:v>Tablet</c:v>
                </c:pt>
                <c:pt idx="1">
                  <c:v>Scanner</c:v>
                </c:pt>
                <c:pt idx="2">
                  <c:v>Router</c:v>
                </c:pt>
                <c:pt idx="3">
                  <c:v>Printer</c:v>
                </c:pt>
                <c:pt idx="4">
                  <c:v>Mouse</c:v>
                </c:pt>
                <c:pt idx="5">
                  <c:v>Monitor</c:v>
                </c:pt>
                <c:pt idx="6">
                  <c:v>Laptop</c:v>
                </c:pt>
                <c:pt idx="7">
                  <c:v>Keyboard</c:v>
                </c:pt>
                <c:pt idx="8">
                  <c:v>Headphones</c:v>
                </c:pt>
                <c:pt idx="9">
                  <c:v>Camera</c:v>
                </c:pt>
              </c:strCache>
            </c:strRef>
          </c:cat>
          <c:val>
            <c:numRef>
              <c:f>Sheet2!$B$4:$B$14</c:f>
              <c:numCache>
                <c:formatCode>General</c:formatCode>
                <c:ptCount val="10"/>
                <c:pt idx="0">
                  <c:v>9822</c:v>
                </c:pt>
                <c:pt idx="1">
                  <c:v>3925</c:v>
                </c:pt>
                <c:pt idx="2">
                  <c:v>9796</c:v>
                </c:pt>
                <c:pt idx="3">
                  <c:v>8297</c:v>
                </c:pt>
                <c:pt idx="4">
                  <c:v>5705</c:v>
                </c:pt>
                <c:pt idx="5">
                  <c:v>9693</c:v>
                </c:pt>
                <c:pt idx="6">
                  <c:v>3939</c:v>
                </c:pt>
                <c:pt idx="7">
                  <c:v>8289</c:v>
                </c:pt>
                <c:pt idx="8">
                  <c:v>7651</c:v>
                </c:pt>
                <c:pt idx="9">
                  <c:v>6719</c:v>
                </c:pt>
              </c:numCache>
            </c:numRef>
          </c:val>
          <c:extLst>
            <c:ext xmlns:c16="http://schemas.microsoft.com/office/drawing/2014/chart" uri="{C3380CC4-5D6E-409C-BE32-E72D297353CC}">
              <c16:uniqueId val="{00000000-C413-4928-9A02-77B743CE902E}"/>
            </c:ext>
          </c:extLst>
        </c:ser>
        <c:ser>
          <c:idx val="1"/>
          <c:order val="1"/>
          <c:tx>
            <c:strRef>
              <c:f>Sheet2!$C$3</c:f>
              <c:strCache>
                <c:ptCount val="1"/>
                <c:pt idx="0">
                  <c:v>Sum of Actual Sales</c:v>
                </c:pt>
              </c:strCache>
            </c:strRef>
          </c:tx>
          <c:spPr>
            <a:solidFill>
              <a:schemeClr val="accent2"/>
            </a:solidFill>
            <a:ln>
              <a:noFill/>
            </a:ln>
            <a:effectLst/>
            <a:sp3d/>
          </c:spPr>
          <c:invertIfNegative val="0"/>
          <c:cat>
            <c:strRef>
              <c:f>Sheet2!$A$4:$A$14</c:f>
              <c:strCache>
                <c:ptCount val="10"/>
                <c:pt idx="0">
                  <c:v>Tablet</c:v>
                </c:pt>
                <c:pt idx="1">
                  <c:v>Scanner</c:v>
                </c:pt>
                <c:pt idx="2">
                  <c:v>Router</c:v>
                </c:pt>
                <c:pt idx="3">
                  <c:v>Printer</c:v>
                </c:pt>
                <c:pt idx="4">
                  <c:v>Mouse</c:v>
                </c:pt>
                <c:pt idx="5">
                  <c:v>Monitor</c:v>
                </c:pt>
                <c:pt idx="6">
                  <c:v>Laptop</c:v>
                </c:pt>
                <c:pt idx="7">
                  <c:v>Keyboard</c:v>
                </c:pt>
                <c:pt idx="8">
                  <c:v>Headphones</c:v>
                </c:pt>
                <c:pt idx="9">
                  <c:v>Camera</c:v>
                </c:pt>
              </c:strCache>
            </c:strRef>
          </c:cat>
          <c:val>
            <c:numRef>
              <c:f>Sheet2!$C$4:$C$14</c:f>
              <c:numCache>
                <c:formatCode>General</c:formatCode>
                <c:ptCount val="10"/>
                <c:pt idx="0">
                  <c:v>8587</c:v>
                </c:pt>
                <c:pt idx="1">
                  <c:v>3133</c:v>
                </c:pt>
                <c:pt idx="2">
                  <c:v>8097</c:v>
                </c:pt>
                <c:pt idx="3">
                  <c:v>7313</c:v>
                </c:pt>
                <c:pt idx="4">
                  <c:v>5094</c:v>
                </c:pt>
                <c:pt idx="5">
                  <c:v>8657</c:v>
                </c:pt>
                <c:pt idx="6">
                  <c:v>3418</c:v>
                </c:pt>
                <c:pt idx="7">
                  <c:v>7211</c:v>
                </c:pt>
                <c:pt idx="8">
                  <c:v>6427</c:v>
                </c:pt>
                <c:pt idx="9">
                  <c:v>5640</c:v>
                </c:pt>
              </c:numCache>
            </c:numRef>
          </c:val>
          <c:extLst>
            <c:ext xmlns:c16="http://schemas.microsoft.com/office/drawing/2014/chart" uri="{C3380CC4-5D6E-409C-BE32-E72D297353CC}">
              <c16:uniqueId val="{00000001-C413-4928-9A02-77B743CE902E}"/>
            </c:ext>
          </c:extLst>
        </c:ser>
        <c:ser>
          <c:idx val="2"/>
          <c:order val="2"/>
          <c:tx>
            <c:strRef>
              <c:f>Sheet2!$D$3</c:f>
              <c:strCache>
                <c:ptCount val="1"/>
                <c:pt idx="0">
                  <c:v>Sum of Production Quantity</c:v>
                </c:pt>
              </c:strCache>
            </c:strRef>
          </c:tx>
          <c:spPr>
            <a:solidFill>
              <a:schemeClr val="accent3"/>
            </a:solidFill>
            <a:ln>
              <a:noFill/>
            </a:ln>
            <a:effectLst/>
            <a:sp3d/>
          </c:spPr>
          <c:invertIfNegative val="0"/>
          <c:cat>
            <c:strRef>
              <c:f>Sheet2!$A$4:$A$14</c:f>
              <c:strCache>
                <c:ptCount val="10"/>
                <c:pt idx="0">
                  <c:v>Tablet</c:v>
                </c:pt>
                <c:pt idx="1">
                  <c:v>Scanner</c:v>
                </c:pt>
                <c:pt idx="2">
                  <c:v>Router</c:v>
                </c:pt>
                <c:pt idx="3">
                  <c:v>Printer</c:v>
                </c:pt>
                <c:pt idx="4">
                  <c:v>Mouse</c:v>
                </c:pt>
                <c:pt idx="5">
                  <c:v>Monitor</c:v>
                </c:pt>
                <c:pt idx="6">
                  <c:v>Laptop</c:v>
                </c:pt>
                <c:pt idx="7">
                  <c:v>Keyboard</c:v>
                </c:pt>
                <c:pt idx="8">
                  <c:v>Headphones</c:v>
                </c:pt>
                <c:pt idx="9">
                  <c:v>Camera</c:v>
                </c:pt>
              </c:strCache>
            </c:strRef>
          </c:cat>
          <c:val>
            <c:numRef>
              <c:f>Sheet2!$D$4:$D$14</c:f>
              <c:numCache>
                <c:formatCode>General</c:formatCode>
                <c:ptCount val="10"/>
                <c:pt idx="0">
                  <c:v>9128</c:v>
                </c:pt>
                <c:pt idx="1">
                  <c:v>2740</c:v>
                </c:pt>
                <c:pt idx="2">
                  <c:v>9134</c:v>
                </c:pt>
                <c:pt idx="3">
                  <c:v>7333</c:v>
                </c:pt>
                <c:pt idx="4">
                  <c:v>4788</c:v>
                </c:pt>
                <c:pt idx="5">
                  <c:v>6982</c:v>
                </c:pt>
                <c:pt idx="6">
                  <c:v>2783</c:v>
                </c:pt>
                <c:pt idx="7">
                  <c:v>6458</c:v>
                </c:pt>
                <c:pt idx="8">
                  <c:v>5021</c:v>
                </c:pt>
                <c:pt idx="9">
                  <c:v>4066</c:v>
                </c:pt>
              </c:numCache>
            </c:numRef>
          </c:val>
          <c:extLst>
            <c:ext xmlns:c16="http://schemas.microsoft.com/office/drawing/2014/chart" uri="{C3380CC4-5D6E-409C-BE32-E72D297353CC}">
              <c16:uniqueId val="{00000002-C413-4928-9A02-77B743CE902E}"/>
            </c:ext>
          </c:extLst>
        </c:ser>
        <c:dLbls>
          <c:showLegendKey val="0"/>
          <c:showVal val="0"/>
          <c:showCatName val="0"/>
          <c:showSerName val="0"/>
          <c:showPercent val="0"/>
          <c:showBubbleSize val="0"/>
        </c:dLbls>
        <c:gapWidth val="150"/>
        <c:shape val="box"/>
        <c:axId val="226568320"/>
        <c:axId val="75749807"/>
        <c:axId val="0"/>
      </c:bar3DChart>
      <c:catAx>
        <c:axId val="226568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49807"/>
        <c:crosses val="autoZero"/>
        <c:auto val="1"/>
        <c:lblAlgn val="ctr"/>
        <c:lblOffset val="100"/>
        <c:noMultiLvlLbl val="0"/>
      </c:catAx>
      <c:valAx>
        <c:axId val="75749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56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[Production_Planning_Dashboard.xlsx]Sheet2!PivotTable4</c:name>
    <c:fmtId val="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solidFill>
                  <a:schemeClr val="tx1"/>
                </a:solidFill>
              </a:rPr>
              <a:t>Production vs Demand</a:t>
            </a:r>
          </a:p>
        </c:rich>
      </c:tx>
      <c:layout>
        <c:manualLayout>
          <c:xMode val="edge"/>
          <c:yMode val="edge"/>
          <c:x val="0.22013979701300587"/>
          <c:y val="8.2020997375328086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980579282713333E-2"/>
          <c:y val="0.34360848643919512"/>
          <c:w val="0.61965721599287726"/>
          <c:h val="0.47402405949256343"/>
        </c:manualLayout>
      </c:layout>
      <c:barChart>
        <c:barDir val="col"/>
        <c:grouping val="clustered"/>
        <c:varyColors val="0"/>
        <c:ser>
          <c:idx val="0"/>
          <c:order val="0"/>
          <c:tx>
            <c:strRef>
              <c:f>Sheet2!$N$3</c:f>
              <c:strCache>
                <c:ptCount val="1"/>
                <c:pt idx="0">
                  <c:v>Sum of Forecast Demand</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Sheet2!$M$4:$M$10</c:f>
              <c:strCache>
                <c:ptCount val="6"/>
                <c:pt idx="0">
                  <c:v>January</c:v>
                </c:pt>
                <c:pt idx="1">
                  <c:v>February</c:v>
                </c:pt>
                <c:pt idx="2">
                  <c:v>March</c:v>
                </c:pt>
                <c:pt idx="3">
                  <c:v>April</c:v>
                </c:pt>
                <c:pt idx="4">
                  <c:v>May</c:v>
                </c:pt>
                <c:pt idx="5">
                  <c:v>June</c:v>
                </c:pt>
              </c:strCache>
            </c:strRef>
          </c:cat>
          <c:val>
            <c:numRef>
              <c:f>Sheet2!$N$4:$N$10</c:f>
              <c:numCache>
                <c:formatCode>General</c:formatCode>
                <c:ptCount val="6"/>
                <c:pt idx="0">
                  <c:v>10565</c:v>
                </c:pt>
                <c:pt idx="1">
                  <c:v>13817</c:v>
                </c:pt>
                <c:pt idx="2">
                  <c:v>11678</c:v>
                </c:pt>
                <c:pt idx="3">
                  <c:v>10080</c:v>
                </c:pt>
                <c:pt idx="4">
                  <c:v>12485</c:v>
                </c:pt>
                <c:pt idx="5">
                  <c:v>15211</c:v>
                </c:pt>
              </c:numCache>
            </c:numRef>
          </c:val>
          <c:extLst>
            <c:ext xmlns:c16="http://schemas.microsoft.com/office/drawing/2014/chart" uri="{C3380CC4-5D6E-409C-BE32-E72D297353CC}">
              <c16:uniqueId val="{00000000-4739-4A44-AFB3-A7E04A0F4518}"/>
            </c:ext>
          </c:extLst>
        </c:ser>
        <c:ser>
          <c:idx val="1"/>
          <c:order val="1"/>
          <c:tx>
            <c:strRef>
              <c:f>Sheet2!$O$3</c:f>
              <c:strCache>
                <c:ptCount val="1"/>
                <c:pt idx="0">
                  <c:v>Sum of Production Quantity</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Sheet2!$M$4:$M$10</c:f>
              <c:strCache>
                <c:ptCount val="6"/>
                <c:pt idx="0">
                  <c:v>January</c:v>
                </c:pt>
                <c:pt idx="1">
                  <c:v>February</c:v>
                </c:pt>
                <c:pt idx="2">
                  <c:v>March</c:v>
                </c:pt>
                <c:pt idx="3">
                  <c:v>April</c:v>
                </c:pt>
                <c:pt idx="4">
                  <c:v>May</c:v>
                </c:pt>
                <c:pt idx="5">
                  <c:v>June</c:v>
                </c:pt>
              </c:strCache>
            </c:strRef>
          </c:cat>
          <c:val>
            <c:numRef>
              <c:f>Sheet2!$O$4:$O$10</c:f>
              <c:numCache>
                <c:formatCode>General</c:formatCode>
                <c:ptCount val="6"/>
                <c:pt idx="0">
                  <c:v>9537</c:v>
                </c:pt>
                <c:pt idx="1">
                  <c:v>10278</c:v>
                </c:pt>
                <c:pt idx="2">
                  <c:v>8397</c:v>
                </c:pt>
                <c:pt idx="3">
                  <c:v>8348</c:v>
                </c:pt>
                <c:pt idx="4">
                  <c:v>9835</c:v>
                </c:pt>
                <c:pt idx="5">
                  <c:v>12038</c:v>
                </c:pt>
              </c:numCache>
            </c:numRef>
          </c:val>
          <c:extLst>
            <c:ext xmlns:c16="http://schemas.microsoft.com/office/drawing/2014/chart" uri="{C3380CC4-5D6E-409C-BE32-E72D297353CC}">
              <c16:uniqueId val="{00000001-4739-4A44-AFB3-A7E04A0F4518}"/>
            </c:ext>
          </c:extLst>
        </c:ser>
        <c:dLbls>
          <c:dLblPos val="outEnd"/>
          <c:showLegendKey val="0"/>
          <c:showVal val="1"/>
          <c:showCatName val="0"/>
          <c:showSerName val="0"/>
          <c:showPercent val="0"/>
          <c:showBubbleSize val="0"/>
        </c:dLbls>
        <c:gapWidth val="164"/>
        <c:overlap val="-22"/>
        <c:axId val="212570304"/>
        <c:axId val="1094834544"/>
      </c:barChart>
      <c:catAx>
        <c:axId val="21257030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834544"/>
        <c:crosses val="autoZero"/>
        <c:auto val="1"/>
        <c:lblAlgn val="ctr"/>
        <c:lblOffset val="100"/>
        <c:noMultiLvlLbl val="0"/>
      </c:catAx>
      <c:valAx>
        <c:axId val="10948345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7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alpha val="28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[Production_Planning_Dashboard.xlsx]Sheet2!PivotTable2</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800" b="1" i="0" u="none" strike="noStrike" baseline="0"/>
              <a:t>Inventory Status</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2"/>
          </a:solidFill>
          <a:ln>
            <a:noFill/>
          </a:ln>
          <a:effectLst>
            <a:outerShdw blurRad="317500" algn="ctr" rotWithShape="0">
              <a:prstClr val="black">
                <a:alpha val="25000"/>
              </a:prstClr>
            </a:outerShdw>
          </a:effectLst>
        </c:spPr>
      </c:pivotFmt>
      <c:pivotFmt>
        <c:idx val="8"/>
        <c:spPr>
          <a:solidFill>
            <a:schemeClr val="accent3"/>
          </a:solidFill>
          <a:ln>
            <a:noFill/>
          </a:ln>
          <a:effectLst>
            <a:outerShdw blurRad="317500" algn="ctr" rotWithShape="0">
              <a:prstClr val="black">
                <a:alpha val="25000"/>
              </a:prstClr>
            </a:outerShdw>
          </a:effectLst>
        </c:spPr>
      </c:pivotFmt>
    </c:pivotFmts>
    <c:plotArea>
      <c:layout/>
      <c:pieChart>
        <c:varyColors val="1"/>
        <c:ser>
          <c:idx val="0"/>
          <c:order val="0"/>
          <c:tx>
            <c:strRef>
              <c:f>Sheet2!$G$3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B48-42C7-A8E3-741036572FD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B48-42C7-A8E3-741036572FD0}"/>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B48-42C7-A8E3-741036572FD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Sheet2!$F$4:$F$7</c:f>
              <c:strCache>
                <c:ptCount val="3"/>
                <c:pt idx="0">
                  <c:v>High Stock</c:v>
                </c:pt>
                <c:pt idx="1">
                  <c:v>Low Stock</c:v>
                </c:pt>
                <c:pt idx="2">
                  <c:v>Normal</c:v>
                </c:pt>
              </c:strCache>
            </c:strRef>
          </c:cat>
          <c:val>
            <c:numRef>
              <c:f>Sheet2!$G$4:$G$7</c:f>
              <c:numCache>
                <c:formatCode>General</c:formatCode>
                <c:ptCount val="3"/>
                <c:pt idx="0">
                  <c:v>53</c:v>
                </c:pt>
                <c:pt idx="1">
                  <c:v>38</c:v>
                </c:pt>
                <c:pt idx="2">
                  <c:v>25</c:v>
                </c:pt>
              </c:numCache>
            </c:numRef>
          </c:val>
          <c:extLst>
            <c:ext xmlns:c16="http://schemas.microsoft.com/office/drawing/2014/chart" uri="{C3380CC4-5D6E-409C-BE32-E72D297353CC}">
              <c16:uniqueId val="{00000006-9B48-42C7-A8E3-741036572FD0}"/>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[Production_Planning_Dashboard.xlsx]Sheet2!PivotTable3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tx1"/>
                </a:solidFill>
              </a:rPr>
              <a:t>Region Performance</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Sheet2!$J$3</c:f>
              <c:strCache>
                <c:ptCount val="1"/>
                <c:pt idx="0">
                  <c:v>Sum of Actual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Sheet2!$I$4:$I$8</c:f>
              <c:strCache>
                <c:ptCount val="4"/>
                <c:pt idx="0">
                  <c:v>East</c:v>
                </c:pt>
                <c:pt idx="1">
                  <c:v>North</c:v>
                </c:pt>
                <c:pt idx="2">
                  <c:v>South</c:v>
                </c:pt>
                <c:pt idx="3">
                  <c:v>West</c:v>
                </c:pt>
              </c:strCache>
            </c:strRef>
          </c:cat>
          <c:val>
            <c:numRef>
              <c:f>Sheet2!$J$4:$J$8</c:f>
              <c:numCache>
                <c:formatCode>General</c:formatCode>
                <c:ptCount val="4"/>
                <c:pt idx="0">
                  <c:v>13876</c:v>
                </c:pt>
                <c:pt idx="1">
                  <c:v>16529</c:v>
                </c:pt>
                <c:pt idx="2">
                  <c:v>14741</c:v>
                </c:pt>
                <c:pt idx="3">
                  <c:v>18431</c:v>
                </c:pt>
              </c:numCache>
            </c:numRef>
          </c:val>
          <c:extLst>
            <c:ext xmlns:c16="http://schemas.microsoft.com/office/drawing/2014/chart" uri="{C3380CC4-5D6E-409C-BE32-E72D297353CC}">
              <c16:uniqueId val="{00000000-0622-4746-9406-CBF075CDA301}"/>
            </c:ext>
          </c:extLst>
        </c:ser>
        <c:ser>
          <c:idx val="1"/>
          <c:order val="1"/>
          <c:tx>
            <c:strRef>
              <c:f>Sheet2!$K$3</c:f>
              <c:strCache>
                <c:ptCount val="1"/>
                <c:pt idx="0">
                  <c:v>Sum of Production Quantity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Sheet2!$I$4:$I$8</c:f>
              <c:strCache>
                <c:ptCount val="4"/>
                <c:pt idx="0">
                  <c:v>East</c:v>
                </c:pt>
                <c:pt idx="1">
                  <c:v>North</c:v>
                </c:pt>
                <c:pt idx="2">
                  <c:v>South</c:v>
                </c:pt>
                <c:pt idx="3">
                  <c:v>West</c:v>
                </c:pt>
              </c:strCache>
            </c:strRef>
          </c:cat>
          <c:val>
            <c:numRef>
              <c:f>Sheet2!$K$4:$K$8</c:f>
              <c:numCache>
                <c:formatCode>General</c:formatCode>
                <c:ptCount val="4"/>
                <c:pt idx="0">
                  <c:v>15819</c:v>
                </c:pt>
                <c:pt idx="1">
                  <c:v>16360</c:v>
                </c:pt>
                <c:pt idx="2">
                  <c:v>13186</c:v>
                </c:pt>
                <c:pt idx="3">
                  <c:v>13068</c:v>
                </c:pt>
              </c:numCache>
            </c:numRef>
          </c:val>
          <c:extLst>
            <c:ext xmlns:c16="http://schemas.microsoft.com/office/drawing/2014/chart" uri="{C3380CC4-5D6E-409C-BE32-E72D297353CC}">
              <c16:uniqueId val="{00000001-0622-4746-9406-CBF075CDA301}"/>
            </c:ext>
          </c:extLst>
        </c:ser>
        <c:dLbls>
          <c:dLblPos val="outEnd"/>
          <c:showLegendKey val="0"/>
          <c:showVal val="1"/>
          <c:showCatName val="0"/>
          <c:showSerName val="0"/>
          <c:showPercent val="0"/>
          <c:showBubbleSize val="0"/>
        </c:dLbls>
        <c:gapWidth val="219"/>
        <c:overlap val="-27"/>
        <c:axId val="2056485024"/>
        <c:axId val="233098288"/>
      </c:barChart>
      <c:catAx>
        <c:axId val="205648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098288"/>
        <c:crosses val="autoZero"/>
        <c:auto val="1"/>
        <c:lblAlgn val="ctr"/>
        <c:lblOffset val="100"/>
        <c:noMultiLvlLbl val="0"/>
      </c:catAx>
      <c:valAx>
        <c:axId val="23309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48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[Production_Planning_Dashboard.xlsx]Sheet2!PivotTable1</c:name>
    <c:fmtId val="4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Sum of Forecast Demand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Sheet2!$A$4:$A$14</c:f>
              <c:strCache>
                <c:ptCount val="10"/>
                <c:pt idx="0">
                  <c:v>Tablet</c:v>
                </c:pt>
                <c:pt idx="1">
                  <c:v>Scanner</c:v>
                </c:pt>
                <c:pt idx="2">
                  <c:v>Router</c:v>
                </c:pt>
                <c:pt idx="3">
                  <c:v>Printer</c:v>
                </c:pt>
                <c:pt idx="4">
                  <c:v>Mouse</c:v>
                </c:pt>
                <c:pt idx="5">
                  <c:v>Monitor</c:v>
                </c:pt>
                <c:pt idx="6">
                  <c:v>Laptop</c:v>
                </c:pt>
                <c:pt idx="7">
                  <c:v>Keyboard</c:v>
                </c:pt>
                <c:pt idx="8">
                  <c:v>Headphones</c:v>
                </c:pt>
                <c:pt idx="9">
                  <c:v>Camera</c:v>
                </c:pt>
              </c:strCache>
            </c:strRef>
          </c:cat>
          <c:val>
            <c:numRef>
              <c:f>Sheet2!$B$4:$B$14</c:f>
              <c:numCache>
                <c:formatCode>General</c:formatCode>
                <c:ptCount val="10"/>
                <c:pt idx="0">
                  <c:v>9822</c:v>
                </c:pt>
                <c:pt idx="1">
                  <c:v>3925</c:v>
                </c:pt>
                <c:pt idx="2">
                  <c:v>9796</c:v>
                </c:pt>
                <c:pt idx="3">
                  <c:v>8297</c:v>
                </c:pt>
                <c:pt idx="4">
                  <c:v>5705</c:v>
                </c:pt>
                <c:pt idx="5">
                  <c:v>9693</c:v>
                </c:pt>
                <c:pt idx="6">
                  <c:v>3939</c:v>
                </c:pt>
                <c:pt idx="7">
                  <c:v>8289</c:v>
                </c:pt>
                <c:pt idx="8">
                  <c:v>7651</c:v>
                </c:pt>
                <c:pt idx="9">
                  <c:v>6719</c:v>
                </c:pt>
              </c:numCache>
            </c:numRef>
          </c:val>
          <c:extLst>
            <c:ext xmlns:c16="http://schemas.microsoft.com/office/drawing/2014/chart" uri="{C3380CC4-5D6E-409C-BE32-E72D297353CC}">
              <c16:uniqueId val="{00000000-1FCD-478C-9540-D1C10BBC180B}"/>
            </c:ext>
          </c:extLst>
        </c:ser>
        <c:ser>
          <c:idx val="1"/>
          <c:order val="1"/>
          <c:tx>
            <c:strRef>
              <c:f>Sheet2!$C$3</c:f>
              <c:strCache>
                <c:ptCount val="1"/>
                <c:pt idx="0">
                  <c:v>Sum of Actual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Sheet2!$A$4:$A$14</c:f>
              <c:strCache>
                <c:ptCount val="10"/>
                <c:pt idx="0">
                  <c:v>Tablet</c:v>
                </c:pt>
                <c:pt idx="1">
                  <c:v>Scanner</c:v>
                </c:pt>
                <c:pt idx="2">
                  <c:v>Router</c:v>
                </c:pt>
                <c:pt idx="3">
                  <c:v>Printer</c:v>
                </c:pt>
                <c:pt idx="4">
                  <c:v>Mouse</c:v>
                </c:pt>
                <c:pt idx="5">
                  <c:v>Monitor</c:v>
                </c:pt>
                <c:pt idx="6">
                  <c:v>Laptop</c:v>
                </c:pt>
                <c:pt idx="7">
                  <c:v>Keyboard</c:v>
                </c:pt>
                <c:pt idx="8">
                  <c:v>Headphones</c:v>
                </c:pt>
                <c:pt idx="9">
                  <c:v>Camera</c:v>
                </c:pt>
              </c:strCache>
            </c:strRef>
          </c:cat>
          <c:val>
            <c:numRef>
              <c:f>Sheet2!$C$4:$C$14</c:f>
              <c:numCache>
                <c:formatCode>General</c:formatCode>
                <c:ptCount val="10"/>
                <c:pt idx="0">
                  <c:v>8587</c:v>
                </c:pt>
                <c:pt idx="1">
                  <c:v>3133</c:v>
                </c:pt>
                <c:pt idx="2">
                  <c:v>8097</c:v>
                </c:pt>
                <c:pt idx="3">
                  <c:v>7313</c:v>
                </c:pt>
                <c:pt idx="4">
                  <c:v>5094</c:v>
                </c:pt>
                <c:pt idx="5">
                  <c:v>8657</c:v>
                </c:pt>
                <c:pt idx="6">
                  <c:v>3418</c:v>
                </c:pt>
                <c:pt idx="7">
                  <c:v>7211</c:v>
                </c:pt>
                <c:pt idx="8">
                  <c:v>6427</c:v>
                </c:pt>
                <c:pt idx="9">
                  <c:v>5640</c:v>
                </c:pt>
              </c:numCache>
            </c:numRef>
          </c:val>
          <c:extLst>
            <c:ext xmlns:c16="http://schemas.microsoft.com/office/drawing/2014/chart" uri="{C3380CC4-5D6E-409C-BE32-E72D297353CC}">
              <c16:uniqueId val="{00000001-1FCD-478C-9540-D1C10BBC180B}"/>
            </c:ext>
          </c:extLst>
        </c:ser>
        <c:ser>
          <c:idx val="2"/>
          <c:order val="2"/>
          <c:tx>
            <c:strRef>
              <c:f>Sheet2!$D$3</c:f>
              <c:strCache>
                <c:ptCount val="1"/>
                <c:pt idx="0">
                  <c:v>Sum of Production Quantity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Sheet2!$A$4:$A$14</c:f>
              <c:strCache>
                <c:ptCount val="10"/>
                <c:pt idx="0">
                  <c:v>Tablet</c:v>
                </c:pt>
                <c:pt idx="1">
                  <c:v>Scanner</c:v>
                </c:pt>
                <c:pt idx="2">
                  <c:v>Router</c:v>
                </c:pt>
                <c:pt idx="3">
                  <c:v>Printer</c:v>
                </c:pt>
                <c:pt idx="4">
                  <c:v>Mouse</c:v>
                </c:pt>
                <c:pt idx="5">
                  <c:v>Monitor</c:v>
                </c:pt>
                <c:pt idx="6">
                  <c:v>Laptop</c:v>
                </c:pt>
                <c:pt idx="7">
                  <c:v>Keyboard</c:v>
                </c:pt>
                <c:pt idx="8">
                  <c:v>Headphones</c:v>
                </c:pt>
                <c:pt idx="9">
                  <c:v>Camera</c:v>
                </c:pt>
              </c:strCache>
            </c:strRef>
          </c:cat>
          <c:val>
            <c:numRef>
              <c:f>Sheet2!$D$4:$D$14</c:f>
              <c:numCache>
                <c:formatCode>General</c:formatCode>
                <c:ptCount val="10"/>
                <c:pt idx="0">
                  <c:v>9128</c:v>
                </c:pt>
                <c:pt idx="1">
                  <c:v>2740</c:v>
                </c:pt>
                <c:pt idx="2">
                  <c:v>9134</c:v>
                </c:pt>
                <c:pt idx="3">
                  <c:v>7333</c:v>
                </c:pt>
                <c:pt idx="4">
                  <c:v>4788</c:v>
                </c:pt>
                <c:pt idx="5">
                  <c:v>6982</c:v>
                </c:pt>
                <c:pt idx="6">
                  <c:v>2783</c:v>
                </c:pt>
                <c:pt idx="7">
                  <c:v>6458</c:v>
                </c:pt>
                <c:pt idx="8">
                  <c:v>5021</c:v>
                </c:pt>
                <c:pt idx="9">
                  <c:v>4066</c:v>
                </c:pt>
              </c:numCache>
            </c:numRef>
          </c:val>
          <c:extLst>
            <c:ext xmlns:c16="http://schemas.microsoft.com/office/drawing/2014/chart" uri="{C3380CC4-5D6E-409C-BE32-E72D297353CC}">
              <c16:uniqueId val="{00000002-1FCD-478C-9540-D1C10BBC180B}"/>
            </c:ext>
          </c:extLst>
        </c:ser>
        <c:dLbls>
          <c:dLblPos val="outEnd"/>
          <c:showLegendKey val="0"/>
          <c:showVal val="1"/>
          <c:showCatName val="0"/>
          <c:showSerName val="0"/>
          <c:showPercent val="0"/>
          <c:showBubbleSize val="0"/>
        </c:dLbls>
        <c:gapWidth val="182"/>
        <c:axId val="1105580032"/>
        <c:axId val="1094822544"/>
      </c:barChart>
      <c:catAx>
        <c:axId val="1105580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822544"/>
        <c:crosses val="autoZero"/>
        <c:auto val="1"/>
        <c:lblAlgn val="ctr"/>
        <c:lblOffset val="100"/>
        <c:noMultiLvlLbl val="0"/>
      </c:catAx>
      <c:valAx>
        <c:axId val="1094822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58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8</xdr:col>
      <xdr:colOff>304800</xdr:colOff>
      <xdr:row>13</xdr:row>
      <xdr:rowOff>125730</xdr:rowOff>
    </xdr:from>
    <xdr:to>
      <xdr:col>12</xdr:col>
      <xdr:colOff>487680</xdr:colOff>
      <xdr:row>28</xdr:row>
      <xdr:rowOff>125730</xdr:rowOff>
    </xdr:to>
    <xdr:graphicFrame macro="">
      <xdr:nvGraphicFramePr>
        <xdr:cNvPr id="3" name="Chart 2">
          <a:extLst>
            <a:ext uri="{FF2B5EF4-FFF2-40B4-BE49-F238E27FC236}">
              <a16:creationId xmlns:a16="http://schemas.microsoft.com/office/drawing/2014/main" id="{CF2FC0F7-E828-7260-45FF-FEE37D8F45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190500</xdr:colOff>
      <xdr:row>8</xdr:row>
      <xdr:rowOff>125730</xdr:rowOff>
    </xdr:from>
    <xdr:to>
      <xdr:col>7</xdr:col>
      <xdr:colOff>487680</xdr:colOff>
      <xdr:row>23</xdr:row>
      <xdr:rowOff>125730</xdr:rowOff>
    </xdr:to>
    <xdr:graphicFrame macro="">
      <xdr:nvGraphicFramePr>
        <xdr:cNvPr id="4" name="Chart 3">
          <a:extLst>
            <a:ext uri="{FF2B5EF4-FFF2-40B4-BE49-F238E27FC236}">
              <a16:creationId xmlns:a16="http://schemas.microsoft.com/office/drawing/2014/main" id="{D2994E9B-FE48-FE0F-6443-77A5B6961F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693420</xdr:colOff>
      <xdr:row>13</xdr:row>
      <xdr:rowOff>148590</xdr:rowOff>
    </xdr:from>
    <xdr:to>
      <xdr:col>16</xdr:col>
      <xdr:colOff>304800</xdr:colOff>
      <xdr:row>28</xdr:row>
      <xdr:rowOff>148590</xdr:rowOff>
    </xdr:to>
    <xdr:graphicFrame macro="">
      <xdr:nvGraphicFramePr>
        <xdr:cNvPr id="5" name="Chart 4">
          <a:extLst>
            <a:ext uri="{FF2B5EF4-FFF2-40B4-BE49-F238E27FC236}">
              <a16:creationId xmlns:a16="http://schemas.microsoft.com/office/drawing/2014/main" id="{CE817AEF-A228-F405-1E61-EF19D0F965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22860</xdr:colOff>
      <xdr:row>8</xdr:row>
      <xdr:rowOff>148590</xdr:rowOff>
    </xdr:from>
    <xdr:to>
      <xdr:col>8</xdr:col>
      <xdr:colOff>327660</xdr:colOff>
      <xdr:row>21</xdr:row>
      <xdr:rowOff>91440</xdr:rowOff>
    </xdr:to>
    <xdr:graphicFrame macro="">
      <xdr:nvGraphicFramePr>
        <xdr:cNvPr id="6" name="Chart 5">
          <a:extLst>
            <a:ext uri="{FF2B5EF4-FFF2-40B4-BE49-F238E27FC236}">
              <a16:creationId xmlns:a16="http://schemas.microsoft.com/office/drawing/2014/main" id="{62E01054-DF28-7D33-505E-0BA7A0C1FC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403860</xdr:colOff>
      <xdr:row>29</xdr:row>
      <xdr:rowOff>106680</xdr:rowOff>
    </xdr:from>
    <xdr:to>
      <xdr:col>9</xdr:col>
      <xdr:colOff>1272540</xdr:colOff>
      <xdr:row>43</xdr:row>
      <xdr:rowOff>120015</xdr:rowOff>
    </xdr:to>
    <mc:AlternateContent xmlns:mc="http://schemas.openxmlformats.org/markup-compatibility/2006">
      <mc:Choice xmlns:a14="http://schemas.microsoft.com/office/drawing/2010/main" Requires="a14">
        <xdr:graphicFrame macro="">
          <xdr:nvGraphicFramePr>
            <xdr:cNvPr id="7" name="Product Name">
              <a:extLst>
                <a:ext uri="{FF2B5EF4-FFF2-40B4-BE49-F238E27FC236}">
                  <a16:creationId xmlns:a16="http://schemas.microsoft.com/office/drawing/2014/main" id="{0C0F85D1-C7FF-02B8-C544-4C6358015106}"/>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9654540" y="5189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944880</xdr:colOff>
      <xdr:row>30</xdr:row>
      <xdr:rowOff>45721</xdr:rowOff>
    </xdr:from>
    <xdr:to>
      <xdr:col>8</xdr:col>
      <xdr:colOff>220980</xdr:colOff>
      <xdr:row>38</xdr:row>
      <xdr:rowOff>60961</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9FD611D8-5AF5-DC9E-CF52-237A3409189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642860" y="5303521"/>
              <a:ext cx="182880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1333500</xdr:colOff>
      <xdr:row>32</xdr:row>
      <xdr:rowOff>68581</xdr:rowOff>
    </xdr:from>
    <xdr:to>
      <xdr:col>5</xdr:col>
      <xdr:colOff>594360</xdr:colOff>
      <xdr:row>40</xdr:row>
      <xdr:rowOff>91441</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684D8461-9071-589F-6021-D233BBB1B40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463540" y="5676901"/>
              <a:ext cx="182880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49530</xdr:colOff>
      <xdr:row>16</xdr:row>
      <xdr:rowOff>30480</xdr:rowOff>
    </xdr:from>
    <xdr:to>
      <xdr:col>3</xdr:col>
      <xdr:colOff>1451610</xdr:colOff>
      <xdr:row>31</xdr:row>
      <xdr:rowOff>144780</xdr:rowOff>
    </xdr:to>
    <xdr:graphicFrame macro="">
      <xdr:nvGraphicFramePr>
        <xdr:cNvPr id="10" name="Chart 9">
          <a:extLst>
            <a:ext uri="{FF2B5EF4-FFF2-40B4-BE49-F238E27FC236}">
              <a16:creationId xmlns:a16="http://schemas.microsoft.com/office/drawing/2014/main" id="{050CBCA9-7AD5-F9E7-41B2-36D4B34531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76200</xdr:rowOff>
    </xdr:from>
    <xdr:to>
      <xdr:col>16</xdr:col>
      <xdr:colOff>137160</xdr:colOff>
      <xdr:row>3</xdr:row>
      <xdr:rowOff>137160</xdr:rowOff>
    </xdr:to>
    <xdr:sp macro="" textlink="">
      <xdr:nvSpPr>
        <xdr:cNvPr id="3" name="Rectangle 2">
          <a:extLst>
            <a:ext uri="{FF2B5EF4-FFF2-40B4-BE49-F238E27FC236}">
              <a16:creationId xmlns:a16="http://schemas.microsoft.com/office/drawing/2014/main" id="{C45261FA-7793-F863-7651-009EF74D67A2}"/>
            </a:ext>
          </a:extLst>
        </xdr:cNvPr>
        <xdr:cNvSpPr/>
      </xdr:nvSpPr>
      <xdr:spPr>
        <a:xfrm>
          <a:off x="0" y="76200"/>
          <a:ext cx="10866120" cy="586740"/>
        </a:xfrm>
        <a:prstGeom prst="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a:solidFill>
                <a:schemeClr val="accent1">
                  <a:lumMod val="50000"/>
                </a:schemeClr>
              </a:solidFill>
              <a:latin typeface="Arial" panose="020B0604020202020204" pitchFamily="34" charset="0"/>
              <a:cs typeface="Arial" panose="020B0604020202020204" pitchFamily="34" charset="0"/>
            </a:rPr>
            <a:t>Production Planning Dashboard</a:t>
          </a:r>
        </a:p>
      </xdr:txBody>
    </xdr:sp>
    <xdr:clientData/>
  </xdr:twoCellAnchor>
  <xdr:twoCellAnchor>
    <xdr:from>
      <xdr:col>0</xdr:col>
      <xdr:colOff>121920</xdr:colOff>
      <xdr:row>7</xdr:row>
      <xdr:rowOff>76200</xdr:rowOff>
    </xdr:from>
    <xdr:to>
      <xdr:col>10</xdr:col>
      <xdr:colOff>480060</xdr:colOff>
      <xdr:row>24</xdr:row>
      <xdr:rowOff>30480</xdr:rowOff>
    </xdr:to>
    <xdr:graphicFrame macro="">
      <xdr:nvGraphicFramePr>
        <xdr:cNvPr id="25" name="Chart 24">
          <a:extLst>
            <a:ext uri="{FF2B5EF4-FFF2-40B4-BE49-F238E27FC236}">
              <a16:creationId xmlns:a16="http://schemas.microsoft.com/office/drawing/2014/main" id="{DC2C076B-7121-4E06-928B-C938E3A49D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190500</xdr:colOff>
      <xdr:row>24</xdr:row>
      <xdr:rowOff>106680</xdr:rowOff>
    </xdr:from>
    <xdr:to>
      <xdr:col>7</xdr:col>
      <xdr:colOff>144780</xdr:colOff>
      <xdr:row>41</xdr:row>
      <xdr:rowOff>38100</xdr:rowOff>
    </xdr:to>
    <xdr:graphicFrame macro="">
      <xdr:nvGraphicFramePr>
        <xdr:cNvPr id="26" name="Chart 25">
          <a:extLst>
            <a:ext uri="{FF2B5EF4-FFF2-40B4-BE49-F238E27FC236}">
              <a16:creationId xmlns:a16="http://schemas.microsoft.com/office/drawing/2014/main" id="{41BC2F6E-E1CF-40DB-9FE8-54EB265588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376627</xdr:colOff>
      <xdr:row>25</xdr:row>
      <xdr:rowOff>12492</xdr:rowOff>
    </xdr:from>
    <xdr:to>
      <xdr:col>18</xdr:col>
      <xdr:colOff>487180</xdr:colOff>
      <xdr:row>40</xdr:row>
      <xdr:rowOff>137410</xdr:rowOff>
    </xdr:to>
    <xdr:graphicFrame macro="">
      <xdr:nvGraphicFramePr>
        <xdr:cNvPr id="28" name="Chart 27">
          <a:extLst>
            <a:ext uri="{FF2B5EF4-FFF2-40B4-BE49-F238E27FC236}">
              <a16:creationId xmlns:a16="http://schemas.microsoft.com/office/drawing/2014/main" id="{D0A0AFEE-B738-4EFE-9E6F-169214003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106680</xdr:colOff>
      <xdr:row>4</xdr:row>
      <xdr:rowOff>15240</xdr:rowOff>
    </xdr:from>
    <xdr:to>
      <xdr:col>2</xdr:col>
      <xdr:colOff>297180</xdr:colOff>
      <xdr:row>7</xdr:row>
      <xdr:rowOff>7620</xdr:rowOff>
    </xdr:to>
    <xdr:sp macro="" textlink="">
      <xdr:nvSpPr>
        <xdr:cNvPr id="29" name="Rectangle 28">
          <a:extLst>
            <a:ext uri="{FF2B5EF4-FFF2-40B4-BE49-F238E27FC236}">
              <a16:creationId xmlns:a16="http://schemas.microsoft.com/office/drawing/2014/main" id="{F2041A08-A696-8837-32E0-A950602C1A16}"/>
            </a:ext>
          </a:extLst>
        </xdr:cNvPr>
        <xdr:cNvSpPr/>
      </xdr:nvSpPr>
      <xdr:spPr>
        <a:xfrm>
          <a:off x="106680" y="716280"/>
          <a:ext cx="1531620" cy="533400"/>
        </a:xfrm>
        <a:prstGeom prst="rect">
          <a:avLst/>
        </a:prstGeom>
        <a:solidFill>
          <a:schemeClr val="bg1">
            <a:lumMod val="75000"/>
          </a:schemeClr>
        </a:solidFill>
        <a:ln>
          <a:solidFill>
            <a:schemeClr val="tx1"/>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1100"/>
            <a:t>   Total Demand</a:t>
          </a:r>
        </a:p>
        <a:p>
          <a:pPr algn="ctr"/>
          <a:r>
            <a:rPr lang="en-IN" sz="1100" b="1" i="0" u="none" strike="noStrike">
              <a:solidFill>
                <a:schemeClr val="lt1"/>
              </a:solidFill>
              <a:effectLst/>
              <a:latin typeface="+mn-lt"/>
              <a:ea typeface="+mn-ea"/>
              <a:cs typeface="+mn-cs"/>
            </a:rPr>
            <a:t>  </a:t>
          </a:r>
          <a:r>
            <a:rPr lang="en-IN" sz="1100" b="1" i="0" u="none" strike="noStrike">
              <a:solidFill>
                <a:schemeClr val="tx1"/>
              </a:solidFill>
              <a:effectLst/>
              <a:latin typeface="+mn-lt"/>
              <a:ea typeface="+mn-ea"/>
              <a:cs typeface="+mn-cs"/>
            </a:rPr>
            <a:t>73836</a:t>
          </a:r>
          <a:r>
            <a:rPr lang="en-IN">
              <a:solidFill>
                <a:schemeClr val="tx1"/>
              </a:solidFill>
              <a:effectLst/>
            </a:rPr>
            <a:t> </a:t>
          </a:r>
          <a:endParaRPr lang="en-IN" sz="1100">
            <a:solidFill>
              <a:schemeClr val="tx1"/>
            </a:solidFill>
          </a:endParaRPr>
        </a:p>
      </xdr:txBody>
    </xdr:sp>
    <xdr:clientData/>
  </xdr:twoCellAnchor>
  <xdr:twoCellAnchor>
    <xdr:from>
      <xdr:col>2</xdr:col>
      <xdr:colOff>472440</xdr:colOff>
      <xdr:row>4</xdr:row>
      <xdr:rowOff>7620</xdr:rowOff>
    </xdr:from>
    <xdr:to>
      <xdr:col>4</xdr:col>
      <xdr:colOff>556260</xdr:colOff>
      <xdr:row>6</xdr:row>
      <xdr:rowOff>152400</xdr:rowOff>
    </xdr:to>
    <xdr:sp macro="" textlink="">
      <xdr:nvSpPr>
        <xdr:cNvPr id="34" name="Rectangle 33">
          <a:extLst>
            <a:ext uri="{FF2B5EF4-FFF2-40B4-BE49-F238E27FC236}">
              <a16:creationId xmlns:a16="http://schemas.microsoft.com/office/drawing/2014/main" id="{730D54E1-6EDF-4192-8387-7099DDD5535D}"/>
            </a:ext>
          </a:extLst>
        </xdr:cNvPr>
        <xdr:cNvSpPr/>
      </xdr:nvSpPr>
      <xdr:spPr>
        <a:xfrm>
          <a:off x="1813560" y="708660"/>
          <a:ext cx="1424940" cy="510540"/>
        </a:xfrm>
        <a:prstGeom prst="rect">
          <a:avLst/>
        </a:prstGeom>
        <a:solidFill>
          <a:schemeClr val="bg1">
            <a:lumMod val="75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rPr>
            <a:t>   </a:t>
          </a:r>
          <a:r>
            <a:rPr kumimoji="0" lang="en-IN" sz="1100" b="0" i="0" u="none" strike="noStrike" kern="0" cap="none" spc="0" normalizeH="0" baseline="0" noProof="0">
              <a:ln>
                <a:noFill/>
              </a:ln>
              <a:solidFill>
                <a:schemeClr val="tx1"/>
              </a:solidFill>
              <a:effectLst/>
              <a:uLnTx/>
              <a:uFillTx/>
              <a:latin typeface="Calibri" panose="020F0502020204030204"/>
              <a:ea typeface="+mn-ea"/>
              <a:cs typeface="+mn-cs"/>
            </a:rPr>
            <a:t>Total  Sales</a:t>
          </a:r>
        </a:p>
        <a:p>
          <a:pPr marL="0" marR="0" lvl="0" indent="0" algn="ctr" defTabSz="914400" eaLnBrk="1" fontAlgn="auto" latinLnBrk="0" hangingPunct="1">
            <a:lnSpc>
              <a:spcPct val="100000"/>
            </a:lnSpc>
            <a:spcBef>
              <a:spcPts val="0"/>
            </a:spcBef>
            <a:spcAft>
              <a:spcPts val="0"/>
            </a:spcAft>
            <a:buClrTx/>
            <a:buSzTx/>
            <a:buFontTx/>
            <a:buNone/>
            <a:tabLst/>
            <a:defRPr/>
          </a:pPr>
          <a:r>
            <a:rPr lang="en-IN" sz="1100" b="1" i="0" u="none" strike="noStrike">
              <a:solidFill>
                <a:srgbClr val="000000"/>
              </a:solidFill>
              <a:effectLst/>
              <a:latin typeface="Calibri" panose="020F0502020204030204" pitchFamily="34" charset="0"/>
            </a:rPr>
            <a:t>   63577</a:t>
          </a:r>
          <a:r>
            <a:rPr lang="en-IN">
              <a:effectLst/>
            </a:rPr>
            <a:t> </a:t>
          </a: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5</xdr:col>
      <xdr:colOff>30480</xdr:colOff>
      <xdr:row>4</xdr:row>
      <xdr:rowOff>7620</xdr:rowOff>
    </xdr:from>
    <xdr:to>
      <xdr:col>7</xdr:col>
      <xdr:colOff>114300</xdr:colOff>
      <xdr:row>6</xdr:row>
      <xdr:rowOff>160020</xdr:rowOff>
    </xdr:to>
    <xdr:sp macro="" textlink="">
      <xdr:nvSpPr>
        <xdr:cNvPr id="36" name="Rectangle 35">
          <a:extLst>
            <a:ext uri="{FF2B5EF4-FFF2-40B4-BE49-F238E27FC236}">
              <a16:creationId xmlns:a16="http://schemas.microsoft.com/office/drawing/2014/main" id="{02165842-14D9-4051-A6B6-1550C0C2CDC1}"/>
            </a:ext>
          </a:extLst>
        </xdr:cNvPr>
        <xdr:cNvSpPr/>
      </xdr:nvSpPr>
      <xdr:spPr>
        <a:xfrm>
          <a:off x="3078480" y="739140"/>
          <a:ext cx="1303020" cy="533400"/>
        </a:xfrm>
        <a:prstGeom prst="rect">
          <a:avLst/>
        </a:prstGeom>
        <a:solidFill>
          <a:schemeClr val="bg1">
            <a:lumMod val="75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rPr>
            <a:t>   </a:t>
          </a:r>
          <a:r>
            <a:rPr kumimoji="0" lang="en-IN" sz="1100" b="0" i="0" u="none" strike="noStrike" kern="0" cap="none" spc="0" normalizeH="0" baseline="0" noProof="0">
              <a:ln>
                <a:noFill/>
              </a:ln>
              <a:solidFill>
                <a:schemeClr val="tx1"/>
              </a:solidFill>
              <a:effectLst/>
              <a:uLnTx/>
              <a:uFillTx/>
              <a:latin typeface="Calibri" panose="020F0502020204030204"/>
              <a:ea typeface="+mn-ea"/>
              <a:cs typeface="+mn-cs"/>
            </a:rPr>
            <a:t>Total Production</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sysClr val="window" lastClr="FFFFFF"/>
              </a:solidFill>
              <a:effectLst/>
              <a:uLnTx/>
              <a:uFillTx/>
              <a:latin typeface="Calibri" panose="020F0502020204030204"/>
              <a:ea typeface="+mn-ea"/>
              <a:cs typeface="+mn-cs"/>
            </a:rPr>
            <a:t>          </a:t>
          </a:r>
          <a:r>
            <a:rPr lang="en-IN" sz="1100" b="1" i="0" u="none" strike="noStrike">
              <a:effectLst/>
              <a:latin typeface="+mn-lt"/>
              <a:ea typeface="+mn-ea"/>
              <a:cs typeface="+mn-cs"/>
            </a:rPr>
            <a:t>58433</a:t>
          </a:r>
          <a:r>
            <a:rPr lang="en-IN">
              <a:effectLst/>
            </a:rPr>
            <a:t> </a:t>
          </a: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7</xdr:col>
      <xdr:colOff>243840</xdr:colOff>
      <xdr:row>4</xdr:row>
      <xdr:rowOff>7620</xdr:rowOff>
    </xdr:from>
    <xdr:to>
      <xdr:col>9</xdr:col>
      <xdr:colOff>327660</xdr:colOff>
      <xdr:row>6</xdr:row>
      <xdr:rowOff>160020</xdr:rowOff>
    </xdr:to>
    <xdr:sp macro="" textlink="">
      <xdr:nvSpPr>
        <xdr:cNvPr id="38" name="Rectangle 37">
          <a:extLst>
            <a:ext uri="{FF2B5EF4-FFF2-40B4-BE49-F238E27FC236}">
              <a16:creationId xmlns:a16="http://schemas.microsoft.com/office/drawing/2014/main" id="{BADF135A-9599-466D-9857-FC5444EC4018}"/>
            </a:ext>
          </a:extLst>
        </xdr:cNvPr>
        <xdr:cNvSpPr/>
      </xdr:nvSpPr>
      <xdr:spPr>
        <a:xfrm>
          <a:off x="4511040" y="739140"/>
          <a:ext cx="1303020" cy="533400"/>
        </a:xfrm>
        <a:prstGeom prst="rect">
          <a:avLst/>
        </a:prstGeom>
        <a:solidFill>
          <a:schemeClr val="bg1">
            <a:lumMod val="75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rPr>
            <a:t>   </a:t>
          </a:r>
          <a:r>
            <a:rPr kumimoji="0" lang="en-IN" sz="1100" b="0" i="0" u="none" strike="noStrike" kern="0" cap="none" spc="0" normalizeH="0" baseline="0" noProof="0">
              <a:ln>
                <a:noFill/>
              </a:ln>
              <a:solidFill>
                <a:schemeClr val="tx1"/>
              </a:solidFill>
              <a:effectLst/>
              <a:uLnTx/>
              <a:uFillTx/>
              <a:latin typeface="Calibri" panose="020F0502020204030204"/>
              <a:ea typeface="+mn-ea"/>
              <a:cs typeface="+mn-cs"/>
            </a:rPr>
            <a:t>Low stock Count</a:t>
          </a:r>
          <a:r>
            <a:rPr kumimoji="0" lang="en-IN" sz="1100" b="1" i="0" u="none" strike="noStrike" kern="0" cap="none" spc="0" normalizeH="0" baseline="0" noProof="0">
              <a:ln>
                <a:noFill/>
              </a:ln>
              <a:solidFill>
                <a:schemeClr val="tx1"/>
              </a:solidFill>
              <a:effectLst/>
              <a:uLnTx/>
              <a:uFillTx/>
              <a:latin typeface="Calibri" panose="020F0502020204030204"/>
              <a:ea typeface="+mn-ea"/>
              <a:cs typeface="+mn-cs"/>
            </a:rPr>
            <a:t> </a:t>
          </a:r>
        </a:p>
        <a:p>
          <a:pPr marL="0" marR="0" lvl="0" indent="0" algn="ctr" defTabSz="914400" eaLnBrk="1" fontAlgn="auto" latinLnBrk="0" hangingPunct="1">
            <a:lnSpc>
              <a:spcPct val="100000"/>
            </a:lnSpc>
            <a:spcBef>
              <a:spcPts val="0"/>
            </a:spcBef>
            <a:spcAft>
              <a:spcPts val="0"/>
            </a:spcAft>
            <a:buClrTx/>
            <a:buSzTx/>
            <a:buFontTx/>
            <a:buNone/>
            <a:tabLst/>
            <a:defRPr/>
          </a:pPr>
          <a:r>
            <a:rPr lang="en-IN" sz="1100" b="1" i="0" u="none" strike="noStrike">
              <a:solidFill>
                <a:schemeClr val="dk1"/>
              </a:solidFill>
              <a:effectLst/>
              <a:latin typeface="+mn-lt"/>
              <a:ea typeface="+mn-ea"/>
              <a:cs typeface="+mn-cs"/>
            </a:rPr>
            <a:t>38</a:t>
          </a:r>
          <a:r>
            <a:rPr lang="en-IN">
              <a:effectLst/>
            </a:rPr>
            <a:t> </a:t>
          </a: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oneCell">
    <xdr:from>
      <xdr:col>10</xdr:col>
      <xdr:colOff>601980</xdr:colOff>
      <xdr:row>4</xdr:row>
      <xdr:rowOff>0</xdr:rowOff>
    </xdr:from>
    <xdr:to>
      <xdr:col>13</xdr:col>
      <xdr:colOff>251460</xdr:colOff>
      <xdr:row>12</xdr:row>
      <xdr:rowOff>167640</xdr:rowOff>
    </xdr:to>
    <mc:AlternateContent xmlns:mc="http://schemas.openxmlformats.org/markup-compatibility/2006">
      <mc:Choice xmlns:a14="http://schemas.microsoft.com/office/drawing/2010/main" Requires="a14">
        <xdr:graphicFrame macro="">
          <xdr:nvGraphicFramePr>
            <xdr:cNvPr id="39" name="Region 1">
              <a:extLst>
                <a:ext uri="{FF2B5EF4-FFF2-40B4-BE49-F238E27FC236}">
                  <a16:creationId xmlns:a16="http://schemas.microsoft.com/office/drawing/2014/main" id="{9EBEFC81-670F-4BFF-9973-0013F8005AD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330278" y="713362"/>
              <a:ext cx="1667969" cy="1610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601980</xdr:colOff>
      <xdr:row>13</xdr:row>
      <xdr:rowOff>152400</xdr:rowOff>
    </xdr:from>
    <xdr:to>
      <xdr:col>13</xdr:col>
      <xdr:colOff>373380</xdr:colOff>
      <xdr:row>23</xdr:row>
      <xdr:rowOff>144780</xdr:rowOff>
    </xdr:to>
    <mc:AlternateContent xmlns:mc="http://schemas.openxmlformats.org/markup-compatibility/2006">
      <mc:Choice xmlns:a14="http://schemas.microsoft.com/office/drawing/2010/main" Requires="a14">
        <xdr:graphicFrame macro="">
          <xdr:nvGraphicFramePr>
            <xdr:cNvPr id="40" name="Category 1">
              <a:extLst>
                <a:ext uri="{FF2B5EF4-FFF2-40B4-BE49-F238E27FC236}">
                  <a16:creationId xmlns:a16="http://schemas.microsoft.com/office/drawing/2014/main" id="{CA0EF48B-EAD5-4D36-8CE8-C196C0787FF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330278" y="2487038"/>
              <a:ext cx="1789889" cy="17757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441960</xdr:colOff>
      <xdr:row>4</xdr:row>
      <xdr:rowOff>7620</xdr:rowOff>
    </xdr:from>
    <xdr:to>
      <xdr:col>16</xdr:col>
      <xdr:colOff>152400</xdr:colOff>
      <xdr:row>23</xdr:row>
      <xdr:rowOff>137160</xdr:rowOff>
    </xdr:to>
    <mc:AlternateContent xmlns:mc="http://schemas.openxmlformats.org/markup-compatibility/2006">
      <mc:Choice xmlns:a14="http://schemas.microsoft.com/office/drawing/2010/main" Requires="a14">
        <xdr:graphicFrame macro="">
          <xdr:nvGraphicFramePr>
            <xdr:cNvPr id="41" name="Product Name 1">
              <a:extLst>
                <a:ext uri="{FF2B5EF4-FFF2-40B4-BE49-F238E27FC236}">
                  <a16:creationId xmlns:a16="http://schemas.microsoft.com/office/drawing/2014/main" id="{6B1CED45-3A61-418E-893A-96395951DA60}"/>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dr:sp macro="" textlink="">
          <xdr:nvSpPr>
            <xdr:cNvPr id="0" name=""/>
            <xdr:cNvSpPr>
              <a:spLocks noTextEdit="1"/>
            </xdr:cNvSpPr>
          </xdr:nvSpPr>
          <xdr:spPr>
            <a:xfrm>
              <a:off x="9188747" y="720982"/>
              <a:ext cx="1728930" cy="35342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23234</xdr:colOff>
      <xdr:row>45</xdr:row>
      <xdr:rowOff>170234</xdr:rowOff>
    </xdr:from>
    <xdr:to>
      <xdr:col>18</xdr:col>
      <xdr:colOff>24319</xdr:colOff>
      <xdr:row>63</xdr:row>
      <xdr:rowOff>81063</xdr:rowOff>
    </xdr:to>
    <xdr:graphicFrame macro="">
      <xdr:nvGraphicFramePr>
        <xdr:cNvPr id="44" name="Chart 43">
          <a:extLst>
            <a:ext uri="{FF2B5EF4-FFF2-40B4-BE49-F238E27FC236}">
              <a16:creationId xmlns:a16="http://schemas.microsoft.com/office/drawing/2014/main" id="{D201562D-F9AE-4E08-B9E8-AB7CA9608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chiket" refreshedDate="46204.599579166665" backgroundQuery="1" createdVersion="8" refreshedVersion="8" minRefreshableVersion="3" recordCount="0" supportSubquery="1" supportAdvancedDrill="1" xr:uid="{AFD1ABC9-C297-4CAB-BBB1-9CC49DFC0ED9}">
  <cacheSource type="external" connectionId="2"/>
  <cacheFields count="2">
    <cacheField name="[Production_Inventory_Raw_Data].[Product Name].[Product Name]" caption="Product Name" numFmtId="0" hierarchy="2" level="1">
      <sharedItems count="10">
        <s v="Camera"/>
        <s v="Headphones"/>
        <s v="Keyboard"/>
        <s v="Laptop"/>
        <s v="Monitor"/>
        <s v="Mouse"/>
        <s v="Printer"/>
        <s v="Router"/>
        <s v="Scanner"/>
        <s v="Tablet"/>
      </sharedItems>
    </cacheField>
    <cacheField name="[Measures].[Sum of Actual Sales]" caption="Sum of Actual Sales" numFmtId="0" hierarchy="16" level="32767"/>
  </cacheFields>
  <cacheHierarchies count="17">
    <cacheHierarchy uniqueName="[Production_Inventory_Raw_Data].[Date]" caption="Date" attribute="1" time="1" defaultMemberUniqueName="[Production_Inventory_Raw_Data].[Date].[All]" allUniqueName="[Production_Inventory_Raw_Data].[Date].[All]" dimensionUniqueName="[Production_Inventory_Raw_Data]" displayFolder="" count="0" memberValueDatatype="7" unbalanced="0"/>
    <cacheHierarchy uniqueName="[Production_Inventory_Raw_Data].[SKU]" caption="SKU" attribute="1" defaultMemberUniqueName="[Production_Inventory_Raw_Data].[SKU].[All]" allUniqueName="[Production_Inventory_Raw_Data].[SKU].[All]" dimensionUniqueName="[Production_Inventory_Raw_Data]" displayFolder="" count="0" memberValueDatatype="130" unbalanced="0"/>
    <cacheHierarchy uniqueName="[Production_Inventory_Raw_Data].[Product Name]" caption="Product Name" attribute="1" defaultMemberUniqueName="[Production_Inventory_Raw_Data].[Product Name].[All]" allUniqueName="[Production_Inventory_Raw_Data].[Product Name].[All]" dimensionUniqueName="[Production_Inventory_Raw_Data]" displayFolder="" count="2" memberValueDatatype="130" unbalanced="0">
      <fieldsUsage count="2">
        <fieldUsage x="-1"/>
        <fieldUsage x="0"/>
      </fieldsUsage>
    </cacheHierarchy>
    <cacheHierarchy uniqueName="[Production_Inventory_Raw_Data].[Category]" caption="Category" attribute="1" defaultMemberUniqueName="[Production_Inventory_Raw_Data].[Category].[All]" allUniqueName="[Production_Inventory_Raw_Data].[Category].[All]" dimensionUniqueName="[Production_Inventory_Raw_Data]" displayFolder="" count="0" memberValueDatatype="130" unbalanced="0"/>
    <cacheHierarchy uniqueName="[Production_Inventory_Raw_Data].[Region]" caption="Region" attribute="1" defaultMemberUniqueName="[Production_Inventory_Raw_Data].[Region].[All]" allUniqueName="[Production_Inventory_Raw_Data].[Region].[All]" dimensionUniqueName="[Production_Inventory_Raw_Data]" displayFolder="" count="0" memberValueDatatype="130" unbalanced="0"/>
    <cacheHierarchy uniqueName="[Production_Inventory_Raw_Data].[Forecast Demand]" caption="Forecast Demand" attribute="1" defaultMemberUniqueName="[Production_Inventory_Raw_Data].[Forecast Demand].[All]" allUniqueName="[Production_Inventory_Raw_Data].[Forecast Demand].[All]" dimensionUniqueName="[Production_Inventory_Raw_Data]" displayFolder="" count="0" memberValueDatatype="20" unbalanced="0"/>
    <cacheHierarchy uniqueName="[Production_Inventory_Raw_Data].[Actual Sales]" caption="Actual Sales" attribute="1" defaultMemberUniqueName="[Production_Inventory_Raw_Data].[Actual Sales].[All]" allUniqueName="[Production_Inventory_Raw_Data].[Actual Sales].[All]" dimensionUniqueName="[Production_Inventory_Raw_Data]" displayFolder="" count="0" memberValueDatatype="20" unbalanced="0"/>
    <cacheHierarchy uniqueName="[Production_Inventory_Raw_Data].[Opening Stock]" caption="Opening Stock" attribute="1" defaultMemberUniqueName="[Production_Inventory_Raw_Data].[Opening Stock].[All]" allUniqueName="[Production_Inventory_Raw_Data].[Opening Stock].[All]" dimensionUniqueName="[Production_Inventory_Raw_Data]" displayFolder="" count="0" memberValueDatatype="20" unbalanced="0"/>
    <cacheHierarchy uniqueName="[Production_Inventory_Raw_Data].[Production Quantity]" caption="Production Quantity" attribute="1" defaultMemberUniqueName="[Production_Inventory_Raw_Data].[Production Quantity].[All]" allUniqueName="[Production_Inventory_Raw_Data].[Production Quantity].[All]" dimensionUniqueName="[Production_Inventory_Raw_Data]" displayFolder="" count="0" memberValueDatatype="20" unbalanced="0"/>
    <cacheHierarchy uniqueName="[Production_Inventory_Raw_Data].[Closing Stock]" caption="Closing Stock" attribute="1" defaultMemberUniqueName="[Production_Inventory_Raw_Data].[Closing Stock].[All]" allUniqueName="[Production_Inventory_Raw_Data].[Closing Stock].[All]" dimensionUniqueName="[Production_Inventory_Raw_Data]" displayFolder="" count="0" memberValueDatatype="20" unbalanced="0"/>
    <cacheHierarchy uniqueName="[Production_Inventory_Raw_Data].[Inventory Status]" caption="Inventory Status" attribute="1" defaultMemberUniqueName="[Production_Inventory_Raw_Data].[Inventory Status].[All]" allUniqueName="[Production_Inventory_Raw_Data].[Inventory Status].[All]" dimensionUniqueName="[Production_Inventory_Raw_Data]" displayFolder="" count="0" memberValueDatatype="130" unbalanced="0"/>
    <cacheHierarchy uniqueName="[Production_Inventory_Raw_Data].[Month Name]" caption="Month Name" attribute="1" defaultMemberUniqueName="[Production_Inventory_Raw_Data].[Month Name].[All]" allUniqueName="[Production_Inventory_Raw_Data].[Month Name].[All]" dimensionUniqueName="[Production_Inventory_Raw_Data]" displayFolder="" count="0" memberValueDatatype="130" unbalanced="0"/>
    <cacheHierarchy uniqueName="[Production_Inventory_Raw_Data].[Safety stock]" caption="Safety stock" attribute="1" defaultMemberUniqueName="[Production_Inventory_Raw_Data].[Safety stock].[All]" allUniqueName="[Production_Inventory_Raw_Data].[Safety stock].[All]" dimensionUniqueName="[Production_Inventory_Raw_Data]" displayFolder="" count="0" memberValueDatatype="5" unbalanced="0"/>
    <cacheHierarchy uniqueName="[Production_Inventory_Raw_Data].[Required Production]" caption="Required Production" attribute="1" defaultMemberUniqueName="[Production_Inventory_Raw_Data].[Required Production].[All]" allUniqueName="[Production_Inventory_Raw_Data].[Required Production].[All]" dimensionUniqueName="[Production_Inventory_Raw_Data]" displayFolder="" count="0" memberValueDatatype="5" unbalanced="0"/>
    <cacheHierarchy uniqueName="[Measures].[__XL_Count Production_Inventory_Raw_Data]" caption="__XL_Count Production_Inventory_Raw_Data" measure="1" displayFolder="" measureGroup="Production_Inventory_Raw_Data" count="0" hidden="1"/>
    <cacheHierarchy uniqueName="[Measures].[__No measures defined]" caption="__No measures defined" measure="1" displayFolder="" count="0" hidden="1"/>
    <cacheHierarchy uniqueName="[Measures].[Sum of Actual Sales]" caption="Sum of Actual Sales" measure="1" displayFolder="" measureGroup="Production_Inventory_Raw_Data"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Production_Inventory_Raw_Data" uniqueName="[Production_Inventory_Raw_Data]" caption="Production_Inventory_Raw_Data"/>
  </dimensions>
  <measureGroups count="1">
    <measureGroup name="Production_Inventory_Raw_Data" caption="Production_Inventory_Raw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chiket" refreshedDate="46204.634878356483" createdVersion="8" refreshedVersion="8" minRefreshableVersion="3" recordCount="116" xr:uid="{4917937B-BE01-441C-AA49-51C4C5AFCB06}">
  <cacheSource type="worksheet">
    <worksheetSource name="Production_Inventory_Raw_Data"/>
  </cacheSource>
  <cacheFields count="14">
    <cacheField name="Date" numFmtId="14">
      <sharedItems containsSemiMixedTypes="0" containsNonDate="0" containsDate="1" containsString="0" minDate="2026-01-01T00:00:00" maxDate="2026-07-01T00:00:00"/>
    </cacheField>
    <cacheField name="SKU" numFmtId="0">
      <sharedItems/>
    </cacheField>
    <cacheField name="Product Name" numFmtId="0">
      <sharedItems count="10">
        <s v="Keyboard"/>
        <s v="Router"/>
        <s v="Monitor"/>
        <s v="Mouse"/>
        <s v="Scanner"/>
        <s v="Camera"/>
        <s v="Tablet"/>
        <s v="Printer"/>
        <s v="Headphones"/>
        <s v="Laptop"/>
      </sharedItems>
    </cacheField>
    <cacheField name="Category" numFmtId="0">
      <sharedItems count="4">
        <s v="Accessories"/>
        <s v="Networking"/>
        <s v="Electronics"/>
        <s v="Office Equipment"/>
      </sharedItems>
    </cacheField>
    <cacheField name="Region" numFmtId="0">
      <sharedItems count="4">
        <s v="North"/>
        <s v="South"/>
        <s v="East"/>
        <s v="West"/>
      </sharedItems>
    </cacheField>
    <cacheField name="Forecast Demand" numFmtId="0">
      <sharedItems containsSemiMixedTypes="0" containsString="0" containsNumber="1" containsInteger="1" minValue="202" maxValue="994"/>
    </cacheField>
    <cacheField name="Actual Sales" numFmtId="0">
      <sharedItems containsSemiMixedTypes="0" containsString="0" containsNumber="1" containsInteger="1" minValue="161" maxValue="960"/>
    </cacheField>
    <cacheField name="Opening Stock" numFmtId="0">
      <sharedItems containsSemiMixedTypes="0" containsString="0" containsNumber="1" containsInteger="1" minValue="59" maxValue="499"/>
    </cacheField>
    <cacheField name="Production Quantity" numFmtId="0">
      <sharedItems containsSemiMixedTypes="0" containsString="0" containsNumber="1" containsInteger="1" minValue="112" maxValue="896"/>
    </cacheField>
    <cacheField name="Closing Stock" numFmtId="0">
      <sharedItems containsSemiMixedTypes="0" containsString="0" containsNumber="1" containsInteger="1" minValue="0" maxValue="968"/>
    </cacheField>
    <cacheField name="Inventory Status" numFmtId="0">
      <sharedItems count="3">
        <s v="High Stock"/>
        <s v="Normal"/>
        <s v="Low Stock"/>
      </sharedItems>
    </cacheField>
    <cacheField name="Month Name" numFmtId="0">
      <sharedItems count="6">
        <s v="February"/>
        <s v="January"/>
        <s v="May"/>
        <s v="March"/>
        <s v="April"/>
        <s v="June"/>
      </sharedItems>
    </cacheField>
    <cacheField name="Safety stock" numFmtId="0">
      <sharedItems containsSemiMixedTypes="0" containsString="0" containsNumber="1" minValue="20.200000000000003" maxValue="99.4"/>
    </cacheField>
    <cacheField name="Required Production" numFmtId="0">
      <sharedItems containsSemiMixedTypes="0" containsString="0" containsNumber="1" minValue="0" maxValue="1093.4000000000001"/>
    </cacheField>
  </cacheFields>
  <extLst>
    <ext xmlns:x14="http://schemas.microsoft.com/office/spreadsheetml/2009/9/main" uri="{725AE2AE-9491-48be-B2B4-4EB974FC3084}">
      <x14:pivotCacheDefinition pivotCacheId="14560932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
  <r>
    <d v="2026-02-05T00:00:00"/>
    <s v="P002"/>
    <x v="0"/>
    <x v="0"/>
    <x v="0"/>
    <n v="225"/>
    <n v="192"/>
    <n v="175"/>
    <n v="328"/>
    <n v="311"/>
    <x v="0"/>
    <x v="0"/>
    <n v="22.5"/>
    <n v="0"/>
  </r>
  <r>
    <d v="2026-01-08T00:00:00"/>
    <s v="P009"/>
    <x v="1"/>
    <x v="1"/>
    <x v="0"/>
    <n v="289"/>
    <n v="277"/>
    <n v="266"/>
    <n v="132"/>
    <n v="121"/>
    <x v="1"/>
    <x v="1"/>
    <n v="28.900000000000002"/>
    <n v="196.9"/>
  </r>
  <r>
    <d v="2026-05-24T00:00:00"/>
    <s v="P004"/>
    <x v="2"/>
    <x v="2"/>
    <x v="1"/>
    <n v="438"/>
    <n v="435"/>
    <n v="358"/>
    <n v="127"/>
    <n v="50"/>
    <x v="2"/>
    <x v="2"/>
    <n v="43.800000000000004"/>
    <n v="431.8"/>
  </r>
  <r>
    <d v="2026-03-13T00:00:00"/>
    <s v="P009"/>
    <x v="1"/>
    <x v="1"/>
    <x v="0"/>
    <n v="629"/>
    <n v="496"/>
    <n v="279"/>
    <n v="703"/>
    <n v="486"/>
    <x v="0"/>
    <x v="3"/>
    <n v="62.900000000000006"/>
    <n v="205.9"/>
  </r>
  <r>
    <d v="2026-02-09T00:00:00"/>
    <s v="P003"/>
    <x v="3"/>
    <x v="0"/>
    <x v="1"/>
    <n v="914"/>
    <n v="855"/>
    <n v="224"/>
    <n v="384"/>
    <n v="0"/>
    <x v="2"/>
    <x v="0"/>
    <n v="91.4"/>
    <n v="1005.4"/>
  </r>
  <r>
    <d v="2026-04-02T00:00:00"/>
    <s v="P006"/>
    <x v="4"/>
    <x v="3"/>
    <x v="2"/>
    <n v="304"/>
    <n v="223"/>
    <n v="244"/>
    <n v="199"/>
    <n v="220"/>
    <x v="1"/>
    <x v="4"/>
    <n v="30.400000000000002"/>
    <n v="114.4"/>
  </r>
  <r>
    <d v="2026-05-18T00:00:00"/>
    <s v="P010"/>
    <x v="5"/>
    <x v="2"/>
    <x v="0"/>
    <n v="470"/>
    <n v="340"/>
    <n v="423"/>
    <n v="570"/>
    <n v="653"/>
    <x v="0"/>
    <x v="2"/>
    <n v="47"/>
    <n v="0"/>
  </r>
  <r>
    <d v="2026-06-08T00:00:00"/>
    <s v="P007"/>
    <x v="6"/>
    <x v="2"/>
    <x v="2"/>
    <n v="280"/>
    <n v="266"/>
    <n v="200"/>
    <n v="743"/>
    <n v="677"/>
    <x v="0"/>
    <x v="5"/>
    <n v="28"/>
    <n v="0"/>
  </r>
  <r>
    <d v="2026-06-19T00:00:00"/>
    <s v="P010"/>
    <x v="5"/>
    <x v="2"/>
    <x v="1"/>
    <n v="396"/>
    <n v="367"/>
    <n v="85"/>
    <n v="146"/>
    <n v="0"/>
    <x v="2"/>
    <x v="5"/>
    <n v="39.6"/>
    <n v="435.6"/>
  </r>
  <r>
    <d v="2026-04-08T00:00:00"/>
    <s v="P005"/>
    <x v="7"/>
    <x v="3"/>
    <x v="2"/>
    <n v="281"/>
    <n v="225"/>
    <n v="493"/>
    <n v="203"/>
    <n v="471"/>
    <x v="0"/>
    <x v="4"/>
    <n v="28.1"/>
    <n v="0"/>
  </r>
  <r>
    <d v="2026-04-01T00:00:00"/>
    <s v="P008"/>
    <x v="8"/>
    <x v="0"/>
    <x v="1"/>
    <n v="850"/>
    <n v="781"/>
    <n v="133"/>
    <n v="479"/>
    <n v="0"/>
    <x v="2"/>
    <x v="4"/>
    <n v="85"/>
    <n v="935"/>
  </r>
  <r>
    <d v="2026-02-13T00:00:00"/>
    <s v="P005"/>
    <x v="7"/>
    <x v="3"/>
    <x v="1"/>
    <n v="918"/>
    <n v="678"/>
    <n v="361"/>
    <n v="750"/>
    <n v="433"/>
    <x v="0"/>
    <x v="0"/>
    <n v="91.800000000000011"/>
    <n v="576.79999999999995"/>
  </r>
  <r>
    <d v="2026-06-26T00:00:00"/>
    <s v="P003"/>
    <x v="3"/>
    <x v="0"/>
    <x v="1"/>
    <n v="673"/>
    <n v="568"/>
    <n v="188"/>
    <n v="755"/>
    <n v="375"/>
    <x v="0"/>
    <x v="5"/>
    <n v="67.3"/>
    <n v="365.3"/>
  </r>
  <r>
    <d v="2026-03-22T00:00:00"/>
    <s v="P006"/>
    <x v="4"/>
    <x v="3"/>
    <x v="3"/>
    <n v="986"/>
    <n v="718"/>
    <n v="167"/>
    <n v="132"/>
    <n v="0"/>
    <x v="2"/>
    <x v="3"/>
    <n v="98.600000000000009"/>
    <n v="1084.5999999999999"/>
  </r>
  <r>
    <d v="2026-03-09T00:00:00"/>
    <s v="P008"/>
    <x v="8"/>
    <x v="0"/>
    <x v="1"/>
    <n v="605"/>
    <n v="587"/>
    <n v="284"/>
    <n v="246"/>
    <n v="0"/>
    <x v="2"/>
    <x v="3"/>
    <n v="60.5"/>
    <n v="665.5"/>
  </r>
  <r>
    <d v="2026-05-30T00:00:00"/>
    <s v="P004"/>
    <x v="2"/>
    <x v="2"/>
    <x v="3"/>
    <n v="962"/>
    <n v="960"/>
    <n v="325"/>
    <n v="369"/>
    <n v="0"/>
    <x v="2"/>
    <x v="2"/>
    <n v="96.2"/>
    <n v="1058.2"/>
  </r>
  <r>
    <d v="2026-05-11T00:00:00"/>
    <s v="P010"/>
    <x v="5"/>
    <x v="2"/>
    <x v="3"/>
    <n v="608"/>
    <n v="517"/>
    <n v="162"/>
    <n v="241"/>
    <n v="0"/>
    <x v="2"/>
    <x v="2"/>
    <n v="60.800000000000004"/>
    <n v="668.8"/>
  </r>
  <r>
    <d v="2026-06-02T00:00:00"/>
    <s v="P007"/>
    <x v="6"/>
    <x v="2"/>
    <x v="3"/>
    <n v="810"/>
    <n v="583"/>
    <n v="247"/>
    <n v="490"/>
    <n v="154"/>
    <x v="1"/>
    <x v="5"/>
    <n v="81"/>
    <n v="737"/>
  </r>
  <r>
    <d v="2026-01-30T00:00:00"/>
    <s v="P009"/>
    <x v="1"/>
    <x v="1"/>
    <x v="2"/>
    <n v="457"/>
    <n v="321"/>
    <n v="398"/>
    <n v="838"/>
    <n v="915"/>
    <x v="0"/>
    <x v="1"/>
    <n v="45.7"/>
    <n v="0"/>
  </r>
  <r>
    <d v="2026-04-27T00:00:00"/>
    <s v="P006"/>
    <x v="4"/>
    <x v="3"/>
    <x v="0"/>
    <n v="314"/>
    <n v="256"/>
    <n v="272"/>
    <n v="261"/>
    <n v="277"/>
    <x v="1"/>
    <x v="4"/>
    <n v="31.400000000000002"/>
    <n v="68.400000000000006"/>
  </r>
  <r>
    <d v="2026-01-28T00:00:00"/>
    <s v="P005"/>
    <x v="7"/>
    <x v="3"/>
    <x v="2"/>
    <n v="712"/>
    <n v="693"/>
    <n v="141"/>
    <n v="619"/>
    <n v="67"/>
    <x v="2"/>
    <x v="1"/>
    <n v="71.2"/>
    <n v="716.2"/>
  </r>
  <r>
    <d v="2026-02-11T00:00:00"/>
    <s v="P009"/>
    <x v="1"/>
    <x v="1"/>
    <x v="0"/>
    <n v="823"/>
    <n v="626"/>
    <n v="128"/>
    <n v="482"/>
    <n v="0"/>
    <x v="2"/>
    <x v="0"/>
    <n v="82.300000000000011"/>
    <n v="905.3"/>
  </r>
  <r>
    <d v="2026-04-03T00:00:00"/>
    <s v="P010"/>
    <x v="5"/>
    <x v="2"/>
    <x v="2"/>
    <n v="531"/>
    <n v="496"/>
    <n v="59"/>
    <n v="214"/>
    <n v="0"/>
    <x v="2"/>
    <x v="4"/>
    <n v="53.1"/>
    <n v="584.1"/>
  </r>
  <r>
    <d v="2026-01-21T00:00:00"/>
    <s v="P004"/>
    <x v="2"/>
    <x v="2"/>
    <x v="0"/>
    <n v="259"/>
    <n v="211"/>
    <n v="499"/>
    <n v="680"/>
    <n v="968"/>
    <x v="0"/>
    <x v="1"/>
    <n v="25.900000000000002"/>
    <n v="0"/>
  </r>
  <r>
    <d v="2026-02-02T00:00:00"/>
    <s v="P008"/>
    <x v="8"/>
    <x v="0"/>
    <x v="3"/>
    <n v="270"/>
    <n v="257"/>
    <n v="442"/>
    <n v="228"/>
    <n v="413"/>
    <x v="0"/>
    <x v="0"/>
    <n v="27"/>
    <n v="0"/>
  </r>
  <r>
    <d v="2026-04-19T00:00:00"/>
    <s v="P009"/>
    <x v="1"/>
    <x v="1"/>
    <x v="1"/>
    <n v="369"/>
    <n v="291"/>
    <n v="320"/>
    <n v="721"/>
    <n v="750"/>
    <x v="0"/>
    <x v="4"/>
    <n v="36.9"/>
    <n v="0"/>
  </r>
  <r>
    <d v="2026-04-13T00:00:00"/>
    <s v="P009"/>
    <x v="1"/>
    <x v="1"/>
    <x v="2"/>
    <n v="973"/>
    <n v="783"/>
    <n v="415"/>
    <n v="419"/>
    <n v="51"/>
    <x v="2"/>
    <x v="4"/>
    <n v="97.300000000000011"/>
    <n v="1019.3"/>
  </r>
  <r>
    <d v="2026-02-27T00:00:00"/>
    <s v="P008"/>
    <x v="8"/>
    <x v="0"/>
    <x v="0"/>
    <n v="729"/>
    <n v="625"/>
    <n v="111"/>
    <n v="353"/>
    <n v="0"/>
    <x v="2"/>
    <x v="0"/>
    <n v="72.900000000000006"/>
    <n v="801.9"/>
  </r>
  <r>
    <d v="2026-01-02T00:00:00"/>
    <s v="P006"/>
    <x v="4"/>
    <x v="3"/>
    <x v="0"/>
    <n v="221"/>
    <n v="183"/>
    <n v="351"/>
    <n v="325"/>
    <n v="493"/>
    <x v="0"/>
    <x v="1"/>
    <n v="22.1"/>
    <n v="0"/>
  </r>
  <r>
    <d v="2026-01-19T00:00:00"/>
    <s v="P001"/>
    <x v="9"/>
    <x v="2"/>
    <x v="1"/>
    <n v="434"/>
    <n v="320"/>
    <n v="66"/>
    <n v="438"/>
    <n v="184"/>
    <x v="1"/>
    <x v="1"/>
    <n v="43.400000000000006"/>
    <n v="293.39999999999998"/>
  </r>
  <r>
    <d v="2026-02-03T00:00:00"/>
    <s v="P005"/>
    <x v="7"/>
    <x v="3"/>
    <x v="3"/>
    <n v="885"/>
    <n v="867"/>
    <n v="159"/>
    <n v="652"/>
    <n v="0"/>
    <x v="2"/>
    <x v="0"/>
    <n v="88.5"/>
    <n v="973.5"/>
  </r>
  <r>
    <d v="2026-01-25T00:00:00"/>
    <s v="P004"/>
    <x v="2"/>
    <x v="2"/>
    <x v="0"/>
    <n v="684"/>
    <n v="684"/>
    <n v="258"/>
    <n v="294"/>
    <n v="0"/>
    <x v="2"/>
    <x v="1"/>
    <n v="68.400000000000006"/>
    <n v="752.4"/>
  </r>
  <r>
    <d v="2026-01-14T00:00:00"/>
    <s v="P007"/>
    <x v="6"/>
    <x v="2"/>
    <x v="0"/>
    <n v="562"/>
    <n v="501"/>
    <n v="260"/>
    <n v="578"/>
    <n v="337"/>
    <x v="0"/>
    <x v="1"/>
    <n v="56.2"/>
    <n v="281.2"/>
  </r>
  <r>
    <d v="2026-03-05T00:00:00"/>
    <s v="P001"/>
    <x v="9"/>
    <x v="2"/>
    <x v="1"/>
    <n v="612"/>
    <n v="514"/>
    <n v="459"/>
    <n v="211"/>
    <n v="156"/>
    <x v="1"/>
    <x v="3"/>
    <n v="61.2"/>
    <n v="517.20000000000005"/>
  </r>
  <r>
    <d v="2026-02-16T00:00:00"/>
    <s v="P004"/>
    <x v="2"/>
    <x v="2"/>
    <x v="2"/>
    <n v="749"/>
    <n v="638"/>
    <n v="121"/>
    <n v="532"/>
    <n v="15"/>
    <x v="2"/>
    <x v="0"/>
    <n v="74.900000000000006"/>
    <n v="808.9"/>
  </r>
  <r>
    <d v="2026-01-26T00:00:00"/>
    <s v="P008"/>
    <x v="8"/>
    <x v="0"/>
    <x v="0"/>
    <n v="455"/>
    <n v="337"/>
    <n v="276"/>
    <n v="663"/>
    <n v="602"/>
    <x v="0"/>
    <x v="1"/>
    <n v="45.5"/>
    <n v="0"/>
  </r>
  <r>
    <d v="2026-02-12T00:00:00"/>
    <s v="P009"/>
    <x v="1"/>
    <x v="1"/>
    <x v="3"/>
    <n v="215"/>
    <n v="161"/>
    <n v="435"/>
    <n v="342"/>
    <n v="616"/>
    <x v="0"/>
    <x v="0"/>
    <n v="21.5"/>
    <n v="0"/>
  </r>
  <r>
    <d v="2026-01-16T00:00:00"/>
    <s v="P008"/>
    <x v="8"/>
    <x v="0"/>
    <x v="1"/>
    <n v="692"/>
    <n v="538"/>
    <n v="492"/>
    <n v="510"/>
    <n v="464"/>
    <x v="0"/>
    <x v="1"/>
    <n v="69.2"/>
    <n v="297.2"/>
  </r>
  <r>
    <d v="2026-03-15T00:00:00"/>
    <s v="P007"/>
    <x v="6"/>
    <x v="2"/>
    <x v="3"/>
    <n v="202"/>
    <n v="165"/>
    <n v="185"/>
    <n v="565"/>
    <n v="585"/>
    <x v="0"/>
    <x v="3"/>
    <n v="20.200000000000003"/>
    <n v="0"/>
  </r>
  <r>
    <d v="2026-03-17T00:00:00"/>
    <s v="P009"/>
    <x v="1"/>
    <x v="1"/>
    <x v="1"/>
    <n v="877"/>
    <n v="862"/>
    <n v="129"/>
    <n v="294"/>
    <n v="0"/>
    <x v="2"/>
    <x v="3"/>
    <n v="87.7"/>
    <n v="964.7"/>
  </r>
  <r>
    <d v="2026-02-10T00:00:00"/>
    <s v="P001"/>
    <x v="9"/>
    <x v="2"/>
    <x v="0"/>
    <n v="798"/>
    <n v="680"/>
    <n v="307"/>
    <n v="643"/>
    <n v="270"/>
    <x v="1"/>
    <x v="0"/>
    <n v="79.800000000000011"/>
    <n v="607.79999999999995"/>
  </r>
  <r>
    <d v="2026-01-18T00:00:00"/>
    <s v="P009"/>
    <x v="1"/>
    <x v="1"/>
    <x v="1"/>
    <n v="282"/>
    <n v="220"/>
    <n v="85"/>
    <n v="709"/>
    <n v="574"/>
    <x v="0"/>
    <x v="1"/>
    <n v="28.200000000000003"/>
    <n v="0"/>
  </r>
  <r>
    <d v="2026-05-25T00:00:00"/>
    <s v="P010"/>
    <x v="5"/>
    <x v="2"/>
    <x v="2"/>
    <n v="283"/>
    <n v="251"/>
    <n v="386"/>
    <n v="697"/>
    <n v="832"/>
    <x v="0"/>
    <x v="2"/>
    <n v="28.3"/>
    <n v="0"/>
  </r>
  <r>
    <d v="2026-03-03T00:00:00"/>
    <s v="P005"/>
    <x v="7"/>
    <x v="3"/>
    <x v="2"/>
    <n v="409"/>
    <n v="371"/>
    <n v="416"/>
    <n v="421"/>
    <n v="466"/>
    <x v="0"/>
    <x v="3"/>
    <n v="40.900000000000006"/>
    <n v="0"/>
  </r>
  <r>
    <d v="2026-04-28T00:00:00"/>
    <s v="P007"/>
    <x v="6"/>
    <x v="2"/>
    <x v="2"/>
    <n v="334"/>
    <n v="318"/>
    <n v="380"/>
    <n v="407"/>
    <n v="469"/>
    <x v="0"/>
    <x v="4"/>
    <n v="33.4"/>
    <n v="0"/>
  </r>
  <r>
    <d v="2026-03-31T00:00:00"/>
    <s v="P009"/>
    <x v="1"/>
    <x v="1"/>
    <x v="0"/>
    <n v="418"/>
    <n v="356"/>
    <n v="185"/>
    <n v="235"/>
    <n v="64"/>
    <x v="2"/>
    <x v="3"/>
    <n v="41.800000000000004"/>
    <n v="395.8"/>
  </r>
  <r>
    <d v="2026-05-20T00:00:00"/>
    <s v="P004"/>
    <x v="2"/>
    <x v="2"/>
    <x v="2"/>
    <n v="578"/>
    <n v="476"/>
    <n v="130"/>
    <n v="548"/>
    <n v="202"/>
    <x v="1"/>
    <x v="2"/>
    <n v="57.800000000000004"/>
    <n v="433.8"/>
  </r>
  <r>
    <d v="2026-03-18T00:00:00"/>
    <s v="P010"/>
    <x v="5"/>
    <x v="2"/>
    <x v="0"/>
    <n v="869"/>
    <n v="612"/>
    <n v="391"/>
    <n v="667"/>
    <n v="446"/>
    <x v="0"/>
    <x v="3"/>
    <n v="86.9"/>
    <n v="509.9"/>
  </r>
  <r>
    <d v="2026-05-22T00:00:00"/>
    <s v="P003"/>
    <x v="3"/>
    <x v="0"/>
    <x v="1"/>
    <n v="470"/>
    <n v="358"/>
    <n v="104"/>
    <n v="860"/>
    <n v="606"/>
    <x v="0"/>
    <x v="2"/>
    <n v="47"/>
    <n v="0"/>
  </r>
  <r>
    <d v="2026-02-22T00:00:00"/>
    <s v="P005"/>
    <x v="7"/>
    <x v="3"/>
    <x v="2"/>
    <n v="488"/>
    <n v="394"/>
    <n v="417"/>
    <n v="451"/>
    <n v="474"/>
    <x v="0"/>
    <x v="0"/>
    <n v="48.800000000000004"/>
    <n v="62.800000000000004"/>
  </r>
  <r>
    <d v="2026-01-24T00:00:00"/>
    <s v="P009"/>
    <x v="1"/>
    <x v="1"/>
    <x v="3"/>
    <n v="700"/>
    <n v="553"/>
    <n v="483"/>
    <n v="152"/>
    <n v="82"/>
    <x v="2"/>
    <x v="1"/>
    <n v="70"/>
    <n v="688"/>
  </r>
  <r>
    <d v="2026-04-20T00:00:00"/>
    <s v="P003"/>
    <x v="3"/>
    <x v="0"/>
    <x v="0"/>
    <n v="959"/>
    <n v="897"/>
    <n v="332"/>
    <n v="822"/>
    <n v="257"/>
    <x v="1"/>
    <x v="4"/>
    <n v="95.9"/>
    <n v="797.9"/>
  </r>
  <r>
    <d v="2026-04-05T00:00:00"/>
    <s v="P002"/>
    <x v="0"/>
    <x v="0"/>
    <x v="1"/>
    <n v="277"/>
    <n v="212"/>
    <n v="329"/>
    <n v="136"/>
    <n v="253"/>
    <x v="1"/>
    <x v="4"/>
    <n v="27.700000000000003"/>
    <n v="51.7"/>
  </r>
  <r>
    <d v="2026-01-11T00:00:00"/>
    <s v="P007"/>
    <x v="6"/>
    <x v="2"/>
    <x v="2"/>
    <n v="330"/>
    <n v="235"/>
    <n v="207"/>
    <n v="473"/>
    <n v="445"/>
    <x v="0"/>
    <x v="1"/>
    <n v="33"/>
    <n v="0"/>
  </r>
  <r>
    <d v="2026-02-15T00:00:00"/>
    <s v="P010"/>
    <x v="5"/>
    <x v="2"/>
    <x v="3"/>
    <n v="967"/>
    <n v="755"/>
    <n v="171"/>
    <n v="266"/>
    <n v="0"/>
    <x v="2"/>
    <x v="0"/>
    <n v="96.7"/>
    <n v="1063.7"/>
  </r>
  <r>
    <d v="2026-06-21T00:00:00"/>
    <s v="P001"/>
    <x v="9"/>
    <x v="2"/>
    <x v="1"/>
    <n v="383"/>
    <n v="362"/>
    <n v="220"/>
    <n v="521"/>
    <n v="379"/>
    <x v="0"/>
    <x v="5"/>
    <n v="38.300000000000004"/>
    <n v="42.300000000000004"/>
  </r>
  <r>
    <d v="2026-02-18T00:00:00"/>
    <s v="P010"/>
    <x v="5"/>
    <x v="2"/>
    <x v="2"/>
    <n v="723"/>
    <n v="535"/>
    <n v="247"/>
    <n v="690"/>
    <n v="402"/>
    <x v="0"/>
    <x v="0"/>
    <n v="72.3"/>
    <n v="393.3"/>
  </r>
  <r>
    <d v="2026-06-09T00:00:00"/>
    <s v="P006"/>
    <x v="4"/>
    <x v="3"/>
    <x v="2"/>
    <n v="641"/>
    <n v="465"/>
    <n v="390"/>
    <n v="438"/>
    <n v="363"/>
    <x v="0"/>
    <x v="5"/>
    <n v="64.100000000000009"/>
    <n v="342.1"/>
  </r>
  <r>
    <d v="2026-06-20T00:00:00"/>
    <s v="P002"/>
    <x v="0"/>
    <x v="0"/>
    <x v="3"/>
    <n v="937"/>
    <n v="808"/>
    <n v="309"/>
    <n v="416"/>
    <n v="0"/>
    <x v="2"/>
    <x v="5"/>
    <n v="93.7"/>
    <n v="1030.7"/>
  </r>
  <r>
    <d v="2026-02-14T00:00:00"/>
    <s v="P007"/>
    <x v="6"/>
    <x v="2"/>
    <x v="2"/>
    <n v="880"/>
    <n v="810"/>
    <n v="396"/>
    <n v="866"/>
    <n v="452"/>
    <x v="0"/>
    <x v="0"/>
    <n v="88"/>
    <n v="516"/>
  </r>
  <r>
    <d v="2026-04-30T00:00:00"/>
    <s v="P007"/>
    <x v="6"/>
    <x v="2"/>
    <x v="3"/>
    <n v="793"/>
    <n v="710"/>
    <n v="385"/>
    <n v="429"/>
    <n v="104"/>
    <x v="1"/>
    <x v="4"/>
    <n v="79.300000000000011"/>
    <n v="768.3"/>
  </r>
  <r>
    <d v="2026-03-27T00:00:00"/>
    <s v="P005"/>
    <x v="7"/>
    <x v="3"/>
    <x v="0"/>
    <n v="727"/>
    <n v="677"/>
    <n v="374"/>
    <n v="734"/>
    <n v="431"/>
    <x v="0"/>
    <x v="3"/>
    <n v="72.7"/>
    <n v="368.7"/>
  </r>
  <r>
    <d v="2026-02-07T00:00:00"/>
    <s v="P004"/>
    <x v="2"/>
    <x v="2"/>
    <x v="0"/>
    <n v="888"/>
    <n v="779"/>
    <n v="165"/>
    <n v="303"/>
    <n v="0"/>
    <x v="2"/>
    <x v="0"/>
    <n v="88.800000000000011"/>
    <n v="976.8"/>
  </r>
  <r>
    <d v="2026-06-28T00:00:00"/>
    <s v="P007"/>
    <x v="6"/>
    <x v="2"/>
    <x v="3"/>
    <n v="844"/>
    <n v="737"/>
    <n v="149"/>
    <n v="835"/>
    <n v="247"/>
    <x v="1"/>
    <x v="5"/>
    <n v="84.4"/>
    <n v="681.4"/>
  </r>
  <r>
    <d v="2026-06-06T00:00:00"/>
    <s v="P008"/>
    <x v="8"/>
    <x v="0"/>
    <x v="3"/>
    <n v="883"/>
    <n v="780"/>
    <n v="436"/>
    <n v="553"/>
    <n v="209"/>
    <x v="1"/>
    <x v="5"/>
    <n v="88.300000000000011"/>
    <n v="762.3"/>
  </r>
  <r>
    <d v="2026-04-26T00:00:00"/>
    <s v="P009"/>
    <x v="1"/>
    <x v="1"/>
    <x v="2"/>
    <n v="656"/>
    <n v="499"/>
    <n v="430"/>
    <n v="586"/>
    <n v="517"/>
    <x v="0"/>
    <x v="4"/>
    <n v="65.600000000000009"/>
    <n v="204.60000000000002"/>
  </r>
  <r>
    <d v="2026-05-14T00:00:00"/>
    <s v="P004"/>
    <x v="2"/>
    <x v="2"/>
    <x v="3"/>
    <n v="852"/>
    <n v="737"/>
    <n v="442"/>
    <n v="896"/>
    <n v="601"/>
    <x v="0"/>
    <x v="2"/>
    <n v="85.2"/>
    <n v="336.2"/>
  </r>
  <r>
    <d v="2026-02-24T00:00:00"/>
    <s v="P004"/>
    <x v="2"/>
    <x v="2"/>
    <x v="0"/>
    <n v="592"/>
    <n v="591"/>
    <n v="128"/>
    <n v="823"/>
    <n v="360"/>
    <x v="0"/>
    <x v="0"/>
    <n v="59.2"/>
    <n v="291.2"/>
  </r>
  <r>
    <d v="2026-04-17T00:00:00"/>
    <s v="P007"/>
    <x v="6"/>
    <x v="2"/>
    <x v="0"/>
    <n v="617"/>
    <n v="515"/>
    <n v="327"/>
    <n v="577"/>
    <n v="389"/>
    <x v="0"/>
    <x v="4"/>
    <n v="61.7"/>
    <n v="289.7"/>
  </r>
  <r>
    <d v="2026-06-04T00:00:00"/>
    <s v="P007"/>
    <x v="6"/>
    <x v="2"/>
    <x v="1"/>
    <n v="751"/>
    <n v="716"/>
    <n v="426"/>
    <n v="659"/>
    <n v="369"/>
    <x v="0"/>
    <x v="5"/>
    <n v="75.100000000000009"/>
    <n v="457.1"/>
  </r>
  <r>
    <d v="2026-03-25T00:00:00"/>
    <s v="P005"/>
    <x v="7"/>
    <x v="3"/>
    <x v="2"/>
    <n v="588"/>
    <n v="494"/>
    <n v="158"/>
    <n v="565"/>
    <n v="229"/>
    <x v="1"/>
    <x v="3"/>
    <n v="58.800000000000004"/>
    <n v="417.8"/>
  </r>
  <r>
    <d v="2026-05-01T00:00:00"/>
    <s v="P007"/>
    <x v="6"/>
    <x v="2"/>
    <x v="0"/>
    <n v="484"/>
    <n v="445"/>
    <n v="179"/>
    <n v="183"/>
    <n v="0"/>
    <x v="2"/>
    <x v="2"/>
    <n v="48.400000000000006"/>
    <n v="532.4"/>
  </r>
  <r>
    <d v="2026-03-21T00:00:00"/>
    <s v="P003"/>
    <x v="3"/>
    <x v="0"/>
    <x v="3"/>
    <n v="518"/>
    <n v="389"/>
    <n v="346"/>
    <n v="126"/>
    <n v="83"/>
    <x v="2"/>
    <x v="3"/>
    <n v="51.800000000000004"/>
    <n v="486.8"/>
  </r>
  <r>
    <d v="2026-06-03T00:00:00"/>
    <s v="P002"/>
    <x v="0"/>
    <x v="0"/>
    <x v="0"/>
    <n v="913"/>
    <n v="793"/>
    <n v="485"/>
    <n v="800"/>
    <n v="492"/>
    <x v="0"/>
    <x v="5"/>
    <n v="91.300000000000011"/>
    <n v="512.29999999999995"/>
  </r>
  <r>
    <d v="2026-04-18T00:00:00"/>
    <s v="P002"/>
    <x v="0"/>
    <x v="0"/>
    <x v="3"/>
    <n v="718"/>
    <n v="667"/>
    <n v="224"/>
    <n v="112"/>
    <n v="0"/>
    <x v="2"/>
    <x v="4"/>
    <n v="71.8"/>
    <n v="789.8"/>
  </r>
  <r>
    <d v="2026-06-07T00:00:00"/>
    <s v="P003"/>
    <x v="3"/>
    <x v="0"/>
    <x v="3"/>
    <n v="951"/>
    <n v="932"/>
    <n v="383"/>
    <n v="376"/>
    <n v="0"/>
    <x v="2"/>
    <x v="5"/>
    <n v="95.100000000000009"/>
    <n v="1046.0999999999999"/>
  </r>
  <r>
    <d v="2026-03-24T00:00:00"/>
    <s v="P008"/>
    <x v="8"/>
    <x v="0"/>
    <x v="1"/>
    <n v="646"/>
    <n v="639"/>
    <n v="353"/>
    <n v="374"/>
    <n v="88"/>
    <x v="2"/>
    <x v="3"/>
    <n v="64.600000000000009"/>
    <n v="622.6"/>
  </r>
  <r>
    <d v="2026-04-29T00:00:00"/>
    <s v="P002"/>
    <x v="0"/>
    <x v="0"/>
    <x v="3"/>
    <n v="485"/>
    <n v="454"/>
    <n v="174"/>
    <n v="868"/>
    <n v="588"/>
    <x v="0"/>
    <x v="4"/>
    <n v="48.5"/>
    <n v="0"/>
  </r>
  <r>
    <d v="2026-04-15T00:00:00"/>
    <s v="P009"/>
    <x v="1"/>
    <x v="1"/>
    <x v="3"/>
    <n v="210"/>
    <n v="171"/>
    <n v="93"/>
    <n v="347"/>
    <n v="269"/>
    <x v="1"/>
    <x v="4"/>
    <n v="21"/>
    <n v="0"/>
  </r>
  <r>
    <d v="2026-06-15T00:00:00"/>
    <s v="P009"/>
    <x v="1"/>
    <x v="1"/>
    <x v="3"/>
    <n v="976"/>
    <n v="806"/>
    <n v="403"/>
    <n v="587"/>
    <n v="184"/>
    <x v="1"/>
    <x v="5"/>
    <n v="97.600000000000009"/>
    <n v="889.6"/>
  </r>
  <r>
    <d v="2026-04-14T00:00:00"/>
    <s v="P008"/>
    <x v="8"/>
    <x v="0"/>
    <x v="1"/>
    <n v="217"/>
    <n v="162"/>
    <n v="200"/>
    <n v="326"/>
    <n v="364"/>
    <x v="0"/>
    <x v="4"/>
    <n v="21.700000000000003"/>
    <n v="0"/>
  </r>
  <r>
    <d v="2026-05-16T00:00:00"/>
    <s v="P005"/>
    <x v="7"/>
    <x v="3"/>
    <x v="2"/>
    <n v="879"/>
    <n v="803"/>
    <n v="292"/>
    <n v="666"/>
    <n v="155"/>
    <x v="1"/>
    <x v="2"/>
    <n v="87.9"/>
    <n v="811.9"/>
  </r>
  <r>
    <d v="2026-06-29T00:00:00"/>
    <s v="P007"/>
    <x v="6"/>
    <x v="2"/>
    <x v="3"/>
    <n v="963"/>
    <n v="955"/>
    <n v="219"/>
    <n v="460"/>
    <n v="0"/>
    <x v="2"/>
    <x v="5"/>
    <n v="96.300000000000011"/>
    <n v="1059.3"/>
  </r>
  <r>
    <d v="2026-02-19T00:00:00"/>
    <s v="P005"/>
    <x v="7"/>
    <x v="3"/>
    <x v="2"/>
    <n v="513"/>
    <n v="423"/>
    <n v="168"/>
    <n v="223"/>
    <n v="0"/>
    <x v="2"/>
    <x v="0"/>
    <n v="51.300000000000004"/>
    <n v="564.29999999999995"/>
  </r>
  <r>
    <d v="2026-02-17T00:00:00"/>
    <s v="P002"/>
    <x v="0"/>
    <x v="0"/>
    <x v="1"/>
    <n v="960"/>
    <n v="946"/>
    <n v="440"/>
    <n v="806"/>
    <n v="300"/>
    <x v="0"/>
    <x v="0"/>
    <n v="96"/>
    <n v="756"/>
  </r>
  <r>
    <d v="2026-05-31T00:00:00"/>
    <s v="P004"/>
    <x v="2"/>
    <x v="2"/>
    <x v="2"/>
    <n v="956"/>
    <n v="916"/>
    <n v="191"/>
    <n v="841"/>
    <n v="116"/>
    <x v="1"/>
    <x v="2"/>
    <n v="95.600000000000009"/>
    <n v="935.6"/>
  </r>
  <r>
    <d v="2026-01-12T00:00:00"/>
    <s v="P001"/>
    <x v="9"/>
    <x v="2"/>
    <x v="0"/>
    <n v="925"/>
    <n v="920"/>
    <n v="114"/>
    <n v="380"/>
    <n v="0"/>
    <x v="2"/>
    <x v="1"/>
    <n v="92.5"/>
    <n v="1017.5"/>
  </r>
  <r>
    <d v="2026-05-06T00:00:00"/>
    <s v="P009"/>
    <x v="1"/>
    <x v="1"/>
    <x v="0"/>
    <n v="499"/>
    <n v="381"/>
    <n v="376"/>
    <n v="870"/>
    <n v="865"/>
    <x v="0"/>
    <x v="2"/>
    <n v="49.900000000000006"/>
    <n v="0"/>
  </r>
  <r>
    <d v="2026-04-23T00:00:00"/>
    <s v="P001"/>
    <x v="9"/>
    <x v="2"/>
    <x v="2"/>
    <n v="787"/>
    <n v="622"/>
    <n v="290"/>
    <n v="590"/>
    <n v="258"/>
    <x v="1"/>
    <x v="4"/>
    <n v="78.7"/>
    <n v="607.70000000000005"/>
  </r>
  <r>
    <d v="2026-06-25T00:00:00"/>
    <s v="P007"/>
    <x v="6"/>
    <x v="2"/>
    <x v="0"/>
    <n v="703"/>
    <n v="510"/>
    <n v="345"/>
    <n v="744"/>
    <n v="579"/>
    <x v="0"/>
    <x v="5"/>
    <n v="70.3"/>
    <n v="194.3"/>
  </r>
  <r>
    <d v="2026-01-22T00:00:00"/>
    <s v="P003"/>
    <x v="3"/>
    <x v="0"/>
    <x v="1"/>
    <n v="352"/>
    <n v="349"/>
    <n v="338"/>
    <n v="411"/>
    <n v="400"/>
    <x v="0"/>
    <x v="1"/>
    <n v="35.200000000000003"/>
    <n v="0"/>
  </r>
  <r>
    <d v="2026-03-14T00:00:00"/>
    <s v="P005"/>
    <x v="7"/>
    <x v="3"/>
    <x v="3"/>
    <n v="233"/>
    <n v="192"/>
    <n v="197"/>
    <n v="823"/>
    <n v="828"/>
    <x v="0"/>
    <x v="3"/>
    <n v="23.3"/>
    <n v="0"/>
  </r>
  <r>
    <d v="2026-02-08T00:00:00"/>
    <s v="P007"/>
    <x v="6"/>
    <x v="2"/>
    <x v="2"/>
    <n v="317"/>
    <n v="290"/>
    <n v="165"/>
    <n v="763"/>
    <n v="638"/>
    <x v="0"/>
    <x v="0"/>
    <n v="31.700000000000003"/>
    <n v="0"/>
  </r>
  <r>
    <d v="2026-01-07T00:00:00"/>
    <s v="P007"/>
    <x v="6"/>
    <x v="2"/>
    <x v="0"/>
    <n v="952"/>
    <n v="831"/>
    <n v="359"/>
    <n v="356"/>
    <n v="0"/>
    <x v="2"/>
    <x v="1"/>
    <n v="95.2"/>
    <n v="1047.2"/>
  </r>
  <r>
    <d v="2026-03-10T00:00:00"/>
    <s v="P004"/>
    <x v="2"/>
    <x v="2"/>
    <x v="0"/>
    <n v="890"/>
    <n v="633"/>
    <n v="441"/>
    <n v="788"/>
    <n v="596"/>
    <x v="0"/>
    <x v="3"/>
    <n v="89"/>
    <n v="383"/>
  </r>
  <r>
    <d v="2026-01-27T00:00:00"/>
    <s v="P006"/>
    <x v="4"/>
    <x v="3"/>
    <x v="1"/>
    <n v="618"/>
    <n v="517"/>
    <n v="214"/>
    <n v="786"/>
    <n v="483"/>
    <x v="0"/>
    <x v="1"/>
    <n v="61.800000000000004"/>
    <n v="196.8"/>
  </r>
  <r>
    <d v="2026-03-06T00:00:00"/>
    <s v="P009"/>
    <x v="1"/>
    <x v="1"/>
    <x v="2"/>
    <n v="237"/>
    <n v="223"/>
    <n v="95"/>
    <n v="422"/>
    <n v="294"/>
    <x v="1"/>
    <x v="3"/>
    <n v="23.700000000000003"/>
    <n v="0"/>
  </r>
  <r>
    <d v="2026-01-01T00:00:00"/>
    <s v="P002"/>
    <x v="0"/>
    <x v="0"/>
    <x v="3"/>
    <n v="991"/>
    <n v="899"/>
    <n v="492"/>
    <n v="626"/>
    <n v="219"/>
    <x v="1"/>
    <x v="1"/>
    <n v="99.100000000000009"/>
    <n v="871.1"/>
  </r>
  <r>
    <d v="2026-05-21T00:00:00"/>
    <s v="P008"/>
    <x v="8"/>
    <x v="0"/>
    <x v="1"/>
    <n v="978"/>
    <n v="710"/>
    <n v="154"/>
    <n v="373"/>
    <n v="0"/>
    <x v="2"/>
    <x v="2"/>
    <n v="97.800000000000011"/>
    <n v="1075.8"/>
  </r>
  <r>
    <d v="2026-05-04T00:00:00"/>
    <s v="P005"/>
    <x v="7"/>
    <x v="3"/>
    <x v="3"/>
    <n v="721"/>
    <n v="684"/>
    <n v="189"/>
    <n v="525"/>
    <n v="30"/>
    <x v="2"/>
    <x v="2"/>
    <n v="72.100000000000009"/>
    <n v="763.1"/>
  </r>
  <r>
    <d v="2026-05-29T00:00:00"/>
    <s v="P005"/>
    <x v="7"/>
    <x v="3"/>
    <x v="3"/>
    <n v="943"/>
    <n v="812"/>
    <n v="478"/>
    <n v="701"/>
    <n v="367"/>
    <x v="0"/>
    <x v="2"/>
    <n v="94.300000000000011"/>
    <n v="670.3"/>
  </r>
  <r>
    <d v="2026-05-27T00:00:00"/>
    <s v="P008"/>
    <x v="8"/>
    <x v="0"/>
    <x v="3"/>
    <n v="529"/>
    <n v="418"/>
    <n v="407"/>
    <n v="344"/>
    <n v="333"/>
    <x v="0"/>
    <x v="2"/>
    <n v="52.900000000000006"/>
    <n v="248.9"/>
  </r>
  <r>
    <d v="2026-05-02T00:00:00"/>
    <s v="P004"/>
    <x v="2"/>
    <x v="2"/>
    <x v="3"/>
    <n v="994"/>
    <n v="905"/>
    <n v="72"/>
    <n v="425"/>
    <n v="0"/>
    <x v="2"/>
    <x v="2"/>
    <n v="99.4"/>
    <n v="1093.4000000000001"/>
  </r>
  <r>
    <d v="2026-01-04T00:00:00"/>
    <s v="P002"/>
    <x v="0"/>
    <x v="0"/>
    <x v="1"/>
    <n v="650"/>
    <n v="479"/>
    <n v="319"/>
    <n v="567"/>
    <n v="407"/>
    <x v="0"/>
    <x v="1"/>
    <n v="65"/>
    <n v="308"/>
  </r>
  <r>
    <d v="2026-03-26T00:00:00"/>
    <s v="P010"/>
    <x v="5"/>
    <x v="2"/>
    <x v="3"/>
    <n v="909"/>
    <n v="839"/>
    <n v="382"/>
    <n v="182"/>
    <n v="0"/>
    <x v="2"/>
    <x v="3"/>
    <n v="90.9"/>
    <n v="999.9"/>
  </r>
  <r>
    <d v="2026-05-19T00:00:00"/>
    <s v="P006"/>
    <x v="4"/>
    <x v="3"/>
    <x v="0"/>
    <n v="841"/>
    <n v="771"/>
    <n v="438"/>
    <n v="599"/>
    <n v="266"/>
    <x v="1"/>
    <x v="2"/>
    <n v="84.100000000000009"/>
    <n v="659.1"/>
  </r>
  <r>
    <d v="2026-06-30T00:00:00"/>
    <s v="P002"/>
    <x v="0"/>
    <x v="0"/>
    <x v="0"/>
    <n v="644"/>
    <n v="475"/>
    <n v="439"/>
    <n v="748"/>
    <n v="712"/>
    <x v="0"/>
    <x v="5"/>
    <n v="64.400000000000006"/>
    <n v="0"/>
  </r>
  <r>
    <d v="2026-06-24T00:00:00"/>
    <s v="P002"/>
    <x v="0"/>
    <x v="0"/>
    <x v="1"/>
    <n v="824"/>
    <n v="798"/>
    <n v="245"/>
    <n v="734"/>
    <n v="181"/>
    <x v="1"/>
    <x v="5"/>
    <n v="82.4"/>
    <n v="725.4"/>
  </r>
  <r>
    <d v="2026-06-13T00:00:00"/>
    <s v="P008"/>
    <x v="8"/>
    <x v="0"/>
    <x v="2"/>
    <n v="797"/>
    <n v="593"/>
    <n v="168"/>
    <n v="572"/>
    <n v="147"/>
    <x v="1"/>
    <x v="5"/>
    <n v="79.7"/>
    <n v="729.7"/>
  </r>
  <r>
    <d v="2026-02-28T00:00:00"/>
    <s v="P010"/>
    <x v="5"/>
    <x v="2"/>
    <x v="2"/>
    <n v="963"/>
    <n v="928"/>
    <n v="476"/>
    <n v="393"/>
    <n v="0"/>
    <x v="2"/>
    <x v="0"/>
    <n v="96.300000000000011"/>
    <n v="1059.3"/>
  </r>
  <r>
    <d v="2026-06-23T00:00:00"/>
    <s v="P004"/>
    <x v="2"/>
    <x v="2"/>
    <x v="1"/>
    <n v="851"/>
    <n v="692"/>
    <n v="367"/>
    <n v="356"/>
    <n v="31"/>
    <x v="2"/>
    <x v="5"/>
    <n v="85.100000000000009"/>
    <n v="905.1"/>
  </r>
  <r>
    <d v="2026-04-04T00:00:00"/>
    <s v="P003"/>
    <x v="3"/>
    <x v="0"/>
    <x v="2"/>
    <n v="405"/>
    <n v="299"/>
    <n v="452"/>
    <n v="652"/>
    <n v="805"/>
    <x v="0"/>
    <x v="4"/>
    <n v="40.5"/>
    <n v="0"/>
  </r>
  <r>
    <d v="2026-03-28T00:00:00"/>
    <s v="P003"/>
    <x v="3"/>
    <x v="0"/>
    <x v="0"/>
    <n v="463"/>
    <n v="447"/>
    <n v="462"/>
    <n v="402"/>
    <n v="417"/>
    <x v="0"/>
    <x v="3"/>
    <n v="46.300000000000004"/>
    <n v="92.300000000000011"/>
  </r>
  <r>
    <d v="2026-06-22T00:00:00"/>
    <s v="P009"/>
    <x v="1"/>
    <x v="1"/>
    <x v="2"/>
    <n v="326"/>
    <n v="286"/>
    <n v="238"/>
    <n v="788"/>
    <n v="740"/>
    <x v="0"/>
    <x v="5"/>
    <n v="32.6"/>
    <n v="0"/>
  </r>
  <r>
    <d v="2026-03-12T00:00:00"/>
    <s v="P009"/>
    <x v="1"/>
    <x v="1"/>
    <x v="1"/>
    <n v="860"/>
    <n v="785"/>
    <n v="81"/>
    <n v="507"/>
    <n v="0"/>
    <x v="2"/>
    <x v="3"/>
    <n v="86"/>
    <n v="946"/>
  </r>
  <r>
    <d v="2026-06-14T00:00:00"/>
    <s v="P002"/>
    <x v="0"/>
    <x v="0"/>
    <x v="0"/>
    <n v="665"/>
    <n v="488"/>
    <n v="389"/>
    <n v="317"/>
    <n v="218"/>
    <x v="1"/>
    <x v="5"/>
    <n v="66.5"/>
    <n v="51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06D277-32AA-45D3-AA6D-9171646F7C64}"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P3:Q14"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Actual Sales"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ion_Planning_Dashboard.xlsx!Production_Inventory_Raw_Data">
        <x15:activeTabTopLevelEntity name="[Production_Inventory_Raw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D71738-B0DC-4572-A5EB-23937A688EE1}"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3:O10" firstHeaderRow="0" firstDataRow="1" firstDataCol="1"/>
  <pivotFields count="14">
    <pivotField numFmtId="14" showAll="0"/>
    <pivotField showAll="0"/>
    <pivotField showAll="0"/>
    <pivotField showAll="0"/>
    <pivotField showAll="0"/>
    <pivotField dataField="1" showAll="0"/>
    <pivotField showAll="0"/>
    <pivotField showAll="0"/>
    <pivotField dataField="1" showAll="0"/>
    <pivotField showAll="0"/>
    <pivotField showAll="0"/>
    <pivotField axis="axisRow" showAll="0">
      <items count="7">
        <item x="1"/>
        <item x="0"/>
        <item x="3"/>
        <item x="4"/>
        <item x="2"/>
        <item x="5"/>
        <item t="default"/>
      </items>
    </pivotField>
    <pivotField showAll="0"/>
    <pivotField showAll="0"/>
  </pivotFields>
  <rowFields count="1">
    <field x="11"/>
  </rowFields>
  <rowItems count="7">
    <i>
      <x/>
    </i>
    <i>
      <x v="1"/>
    </i>
    <i>
      <x v="2"/>
    </i>
    <i>
      <x v="3"/>
    </i>
    <i>
      <x v="4"/>
    </i>
    <i>
      <x v="5"/>
    </i>
    <i t="grand">
      <x/>
    </i>
  </rowItems>
  <colFields count="1">
    <field x="-2"/>
  </colFields>
  <colItems count="2">
    <i>
      <x/>
    </i>
    <i i="1">
      <x v="1"/>
    </i>
  </colItems>
  <dataFields count="2">
    <dataField name="Sum of Forecast Demand" fld="5" baseField="0" baseItem="0"/>
    <dataField name="Sum of Production Quantity"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FAEDC1-4186-4C0A-8B7A-F5D24A88A255}"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3:K8" firstHeaderRow="0" firstDataRow="1" firstDataCol="1"/>
  <pivotFields count="14">
    <pivotField numFmtId="14" showAll="0"/>
    <pivotField showAll="0"/>
    <pivotField showAll="0">
      <items count="11">
        <item x="5"/>
        <item x="8"/>
        <item x="0"/>
        <item x="9"/>
        <item x="2"/>
        <item x="3"/>
        <item x="7"/>
        <item x="1"/>
        <item x="4"/>
        <item x="6"/>
        <item t="default"/>
      </items>
    </pivotField>
    <pivotField showAll="0">
      <items count="5">
        <item x="0"/>
        <item x="2"/>
        <item x="1"/>
        <item x="3"/>
        <item t="default"/>
      </items>
    </pivotField>
    <pivotField axis="axisRow" showAll="0">
      <items count="5">
        <item x="2"/>
        <item x="0"/>
        <item x="1"/>
        <item x="3"/>
        <item t="default"/>
      </items>
    </pivotField>
    <pivotField showAll="0"/>
    <pivotField dataField="1" showAll="0"/>
    <pivotField showAll="0"/>
    <pivotField dataField="1" showAll="0"/>
    <pivotField showAll="0"/>
    <pivotField showAll="0"/>
    <pivotField showAll="0"/>
    <pivotField showAll="0"/>
    <pivotField showAll="0"/>
  </pivotFields>
  <rowFields count="1">
    <field x="4"/>
  </rowFields>
  <rowItems count="5">
    <i>
      <x/>
    </i>
    <i>
      <x v="1"/>
    </i>
    <i>
      <x v="2"/>
    </i>
    <i>
      <x v="3"/>
    </i>
    <i t="grand">
      <x/>
    </i>
  </rowItems>
  <colFields count="1">
    <field x="-2"/>
  </colFields>
  <colItems count="2">
    <i>
      <x/>
    </i>
    <i i="1">
      <x v="1"/>
    </i>
  </colItems>
  <dataFields count="2">
    <dataField name="Sum of Actual Sales" fld="6" baseField="0" baseItem="0"/>
    <dataField name="Sum of Production Quantity"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FCA8BE-3D0C-48C2-A341-C4CA9B58BCFC}"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3:G7" firstHeaderRow="1" firstDataRow="1" firstDataCol="1"/>
  <pivotFields count="14">
    <pivotField numFmtId="14" showAll="0"/>
    <pivotField dataField="1"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s>
  <rowFields count="1">
    <field x="10"/>
  </rowFields>
  <rowItems count="4">
    <i>
      <x/>
    </i>
    <i>
      <x v="1"/>
    </i>
    <i>
      <x v="2"/>
    </i>
    <i t="grand">
      <x/>
    </i>
  </rowItems>
  <colItems count="1">
    <i/>
  </colItems>
  <dataFields count="1">
    <dataField name="Count of SKU" fld="1" subtotal="count"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0" count="1" selected="0">
            <x v="0"/>
          </reference>
        </references>
      </pivotArea>
    </chartFormat>
    <chartFormat chart="3" format="7">
      <pivotArea type="data" outline="0" fieldPosition="0">
        <references count="2">
          <reference field="4294967294" count="1" selected="0">
            <x v="0"/>
          </reference>
          <reference field="10" count="1" selected="0">
            <x v="1"/>
          </reference>
        </references>
      </pivotArea>
    </chartFormat>
    <chartFormat chart="3"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0690D1-10F6-4AF3-8FF8-F24FA8F2C4C6}"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3:D14" firstHeaderRow="0" firstDataRow="1" firstDataCol="1"/>
  <pivotFields count="14">
    <pivotField numFmtId="14" showAll="0"/>
    <pivotField showAll="0"/>
    <pivotField axis="axisRow" showAll="0" sortType="descending">
      <items count="11">
        <item x="6"/>
        <item x="4"/>
        <item x="1"/>
        <item x="7"/>
        <item x="3"/>
        <item x="2"/>
        <item x="9"/>
        <item x="0"/>
        <item x="8"/>
        <item x="5"/>
        <item t="default"/>
      </items>
    </pivotField>
    <pivotField showAll="0"/>
    <pivotField showAll="0"/>
    <pivotField dataField="1" showAll="0"/>
    <pivotField dataField="1" showAll="0"/>
    <pivotField showAll="0"/>
    <pivotField dataField="1"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Fields count="1">
    <field x="-2"/>
  </colFields>
  <colItems count="3">
    <i>
      <x/>
    </i>
    <i i="1">
      <x v="1"/>
    </i>
    <i i="2">
      <x v="2"/>
    </i>
  </colItems>
  <dataFields count="3">
    <dataField name="Sum of Forecast Demand" fld="5" baseField="0" baseItem="0"/>
    <dataField name="Sum of Actual Sales" fld="6" baseField="0" baseItem="0"/>
    <dataField name="Sum of Production Quantity" fld="8" baseField="0" baseItem="0"/>
  </dataFields>
  <chartFormats count="15">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19" format="2" series="1">
      <pivotArea type="data" outline="0" fieldPosition="0">
        <references count="1">
          <reference field="4294967294" count="1" selected="0">
            <x v="2"/>
          </reference>
        </references>
      </pivotArea>
    </chartFormat>
    <chartFormat chart="39" format="6" series="1">
      <pivotArea type="data" outline="0" fieldPosition="0">
        <references count="1">
          <reference field="4294967294" count="1" selected="0">
            <x v="0"/>
          </reference>
        </references>
      </pivotArea>
    </chartFormat>
    <chartFormat chart="39" format="7" series="1">
      <pivotArea type="data" outline="0" fieldPosition="0">
        <references count="1">
          <reference field="4294967294" count="1" selected="0">
            <x v="1"/>
          </reference>
        </references>
      </pivotArea>
    </chartFormat>
    <chartFormat chart="39" format="8" series="1">
      <pivotArea type="data" outline="0" fieldPosition="0">
        <references count="1">
          <reference field="4294967294" count="1" selected="0">
            <x v="2"/>
          </reference>
        </references>
      </pivotArea>
    </chartFormat>
    <chartFormat chart="40"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1"/>
          </reference>
        </references>
      </pivotArea>
    </chartFormat>
    <chartFormat chart="40" format="2" series="1">
      <pivotArea type="data" outline="0" fieldPosition="0">
        <references count="1">
          <reference field="4294967294" count="1" selected="0">
            <x v="2"/>
          </reference>
        </references>
      </pivotArea>
    </chartFormat>
    <chartFormat chart="43" format="9" series="1">
      <pivotArea type="data" outline="0" fieldPosition="0">
        <references count="1">
          <reference field="4294967294" count="1" selected="0">
            <x v="0"/>
          </reference>
        </references>
      </pivotArea>
    </chartFormat>
    <chartFormat chart="43" format="10" series="1">
      <pivotArea type="data" outline="0" fieldPosition="0">
        <references count="1">
          <reference field="4294967294" count="1" selected="0">
            <x v="1"/>
          </reference>
        </references>
      </pivotArea>
    </chartFormat>
    <chartFormat chart="43" format="11" series="1">
      <pivotArea type="data" outline="0" fieldPosition="0">
        <references count="1">
          <reference field="4294967294" count="1" selected="0">
            <x v="2"/>
          </reference>
        </references>
      </pivotArea>
    </chartFormat>
    <chartFormat chart="45" format="12" series="1">
      <pivotArea type="data" outline="0" fieldPosition="0">
        <references count="1">
          <reference field="4294967294" count="1" selected="0">
            <x v="0"/>
          </reference>
        </references>
      </pivotArea>
    </chartFormat>
    <chartFormat chart="45" format="13" series="1">
      <pivotArea type="data" outline="0" fieldPosition="0">
        <references count="1">
          <reference field="4294967294" count="1" selected="0">
            <x v="1"/>
          </reference>
        </references>
      </pivotArea>
    </chartFormat>
    <chartFormat chart="45"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DE47BDF-CE7F-4B38-8835-6BDA0268FB4E}" autoFormatId="16" applyNumberFormats="0" applyBorderFormats="0" applyFontFormats="0" applyPatternFormats="0" applyAlignmentFormats="0" applyWidthHeightFormats="0">
  <queryTableRefresh nextId="16" unboundColumnsRight="2">
    <queryTableFields count="14">
      <queryTableField id="1" name="Date" tableColumnId="1"/>
      <queryTableField id="2" name="SKU" tableColumnId="2"/>
      <queryTableField id="3" name="Product Name" tableColumnId="3"/>
      <queryTableField id="4" name="Category" tableColumnId="4"/>
      <queryTableField id="5" name="Region" tableColumnId="5"/>
      <queryTableField id="6" name="Forecast Demand" tableColumnId="6"/>
      <queryTableField id="7" name="Actual Sales" tableColumnId="7"/>
      <queryTableField id="8" name="Opening Stock" tableColumnId="8"/>
      <queryTableField id="9" name="Production Quantity" tableColumnId="9"/>
      <queryTableField id="10" name="Closing Stock" tableColumnId="10"/>
      <queryTableField id="11" name="Inventory Status" tableColumnId="11"/>
      <queryTableField id="12" name="Month Name" tableColumnId="12"/>
      <queryTableField id="13" dataBound="0" tableColumnId="13"/>
      <queryTableField id="15"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BE86CB3E-560F-43CD-A404-C871AA67928C}" sourceName="Product Name">
  <pivotTables>
    <pivotTable tabId="3" name="PivotTable3"/>
  </pivotTables>
  <data>
    <tabular pivotCacheId="1456093220">
      <items count="10">
        <i x="5" s="1"/>
        <i x="8" s="1"/>
        <i x="0" s="1"/>
        <i x="9" s="1"/>
        <i x="2" s="1"/>
        <i x="3" s="1"/>
        <i x="7" s="1"/>
        <i x="1" s="1"/>
        <i x="4"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EB38A1C-1DAA-468E-A1E4-FFD5A7E2F867}" sourceName="Category">
  <pivotTables>
    <pivotTable tabId="3" name="PivotTable3"/>
  </pivotTables>
  <data>
    <tabular pivotCacheId="1456093220">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5E0751B-FBD2-41EF-89F5-BCAA6A762928}" sourceName="Region">
  <pivotTables>
    <pivotTable tabId="3" name="PivotTable3"/>
  </pivotTables>
  <data>
    <tabular pivotCacheId="1456093220">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71AE15D8-5BDE-407B-83F3-E5F5BFAF81D3}" cache="Slicer_Product_Name" caption="Product Name" startItem="3" rowHeight="234950"/>
  <slicer name="Category" xr10:uid="{4D6FEDB3-C414-4525-80EC-5BB05C3BD5B3}" cache="Slicer_Category" caption="Category" rowHeight="234950"/>
  <slicer name="Region" xr10:uid="{78FEF09B-CBEC-4655-8D2A-090324FC3457}"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1" xr10:uid="{F58E3F56-8D8D-451B-AC60-DC5514902BF0}" cache="Slicer_Product_Name" caption="Product Name" rowHeight="234950"/>
  <slicer name="Category 1" xr10:uid="{8D5067C5-536E-4BEF-BB60-9528874A1BBB}" cache="Slicer_Category" caption="Category" rowHeight="234950"/>
  <slicer name="Region 1" xr10:uid="{2424DB1E-3D62-4686-95E6-6685681791CA}" cache="Slicer_Region" caption="Region"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EA231D-ACCD-4FD6-B36A-17ABE93B73C4}" name="Production_Inventory_Raw_Data" displayName="Production_Inventory_Raw_Data" ref="A1:N118" tableType="queryTable" totalsRowCount="1">
  <autoFilter ref="A1:N117" xr:uid="{DFEA231D-ACCD-4FD6-B36A-17ABE93B73C4}"/>
  <tableColumns count="14">
    <tableColumn id="1" xr3:uid="{706B7510-D1F2-4A60-BA49-5E81EF324F46}" uniqueName="1" name="Date" queryTableFieldId="1" dataDxfId="15" totalsRowDxfId="7"/>
    <tableColumn id="2" xr3:uid="{5BED62DB-57F4-4BF1-A7A4-FDC78EF06B4A}" uniqueName="2" name="SKU" queryTableFieldId="2" dataDxfId="14" totalsRowDxfId="6"/>
    <tableColumn id="3" xr3:uid="{119E9986-B8EE-44FD-9A26-8D452C8389F1}" uniqueName="3" name="Product Name" queryTableFieldId="3" dataDxfId="13" totalsRowDxfId="5"/>
    <tableColumn id="4" xr3:uid="{70611537-2B5F-4901-96FA-5E1C739466BF}" uniqueName="4" name="Category" queryTableFieldId="4" dataDxfId="12" totalsRowDxfId="4"/>
    <tableColumn id="5" xr3:uid="{D3F3D08B-7E25-4F43-A641-8AA320457D41}" uniqueName="5" name="Region" queryTableFieldId="5" dataDxfId="11" totalsRowDxfId="3"/>
    <tableColumn id="6" xr3:uid="{2B55EB40-7939-4752-86F5-C5980AB3BD89}" uniqueName="6" name="Forecast Demand" totalsRowFunction="custom" queryTableFieldId="6">
      <totalsRowFormula>SUM(Production_Inventory_Raw_Data[Forecast Demand])</totalsRowFormula>
    </tableColumn>
    <tableColumn id="7" xr3:uid="{8E6A82E8-42FF-4566-8A1E-57C1AC18438D}" uniqueName="7" name="Actual Sales" totalsRowFunction="custom" queryTableFieldId="7">
      <totalsRowFormula>SUM(Production_Inventory_Raw_Data[Actual Sales])</totalsRowFormula>
    </tableColumn>
    <tableColumn id="8" xr3:uid="{BDCF99FB-0368-4511-AF03-5DBFBB83E124}" uniqueName="8" name="Opening Stock" queryTableFieldId="8"/>
    <tableColumn id="9" xr3:uid="{8873AA40-ABB1-4C49-9878-D352BF894FAF}" uniqueName="9" name="Production Quantity" totalsRowFunction="custom" queryTableFieldId="9">
      <totalsRowFormula>SUM(Production_Inventory_Raw_Data[Production Quantity])</totalsRowFormula>
    </tableColumn>
    <tableColumn id="10" xr3:uid="{7F3BBC9E-1716-4406-9A69-4C91448D0AD5}" uniqueName="10" name="Closing Stock" queryTableFieldId="10"/>
    <tableColumn id="11" xr3:uid="{4D836DC8-CE88-4117-A667-388228C62504}" uniqueName="11" name="Inventory Status" totalsRowFunction="custom" queryTableFieldId="11">
      <totalsRowFormula>COUNTIF(Production_Inventory_Raw_Data[Inventory Status],"Low stock")</totalsRowFormula>
    </tableColumn>
    <tableColumn id="12" xr3:uid="{3FF9776F-46FA-4219-9E45-81AFFAE9068F}" uniqueName="12" name="Month Name" queryTableFieldId="12" dataDxfId="10" totalsRowDxfId="2"/>
    <tableColumn id="13" xr3:uid="{795D26BD-4C8D-4DFC-950D-D82D22C4F327}" uniqueName="13" name="Safety stock" queryTableFieldId="13" dataDxfId="9" totalsRowDxfId="1">
      <calculatedColumnFormula xml:space="preserve"> Production_Inventory_Raw_Data[[#This Row],[Forecast Demand]]*10%</calculatedColumnFormula>
    </tableColumn>
    <tableColumn id="15" xr3:uid="{7A4CEE89-7D7E-486F-8659-A153F6ABE899}" uniqueName="15" name="Required Production" queryTableFieldId="15" dataDxfId="8" totalsRowDxfId="0">
      <calculatedColumnFormula>MAX(0,Production_Inventory_Raw_Data[[#This Row],[Forecast Demand]]-Production_Inventory_Raw_Data[[#This Row],[Closing Stock]]+Production_Inventory_Raw_Data[[#This Row],[Safety stock]])</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Wisp">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Wisp">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mokey Glass">
      <a:fillStyleLst>
        <a:solidFill>
          <a:schemeClr val="phClr"/>
        </a:solidFill>
        <a:gradFill rotWithShape="1">
          <a:gsLst>
            <a:gs pos="0">
              <a:schemeClr val="phClr">
                <a:tint val="83000"/>
                <a:shade val="100000"/>
                <a:satMod val="100000"/>
              </a:schemeClr>
            </a:gs>
            <a:gs pos="100000">
              <a:schemeClr val="phClr">
                <a:tint val="61000"/>
                <a:alpha val="100000"/>
                <a:satMod val="180000"/>
              </a:schemeClr>
            </a:gs>
          </a:gsLst>
          <a:path path="circle">
            <a:fillToRect l="100000" t="100000" r="100000" b="100000"/>
          </a:path>
        </a:gradFill>
        <a:gradFill rotWithShape="1">
          <a:gsLst>
            <a:gs pos="0">
              <a:schemeClr val="phClr">
                <a:shade val="85000"/>
              </a:schemeClr>
            </a:gs>
            <a:gs pos="100000">
              <a:schemeClr val="phClr">
                <a:tint val="90000"/>
                <a:alpha val="100000"/>
                <a:satMod val="180000"/>
              </a:schemeClr>
            </a:gs>
          </a:gsLst>
          <a:path path="circle">
            <a:fillToRect l="100000" t="100000" r="100000" b="100000"/>
          </a:path>
        </a:gradFill>
      </a:fillStyleLst>
      <a:lnStyleLst>
        <a:ln w="9525" cap="flat" cmpd="sng" algn="ctr">
          <a:solidFill>
            <a:schemeClr val="phClr"/>
          </a:solidFill>
          <a:prstDash val="solid"/>
        </a:ln>
        <a:ln w="10795" cap="flat" cmpd="sng" algn="ctr">
          <a:solidFill>
            <a:schemeClr val="phClr"/>
          </a:solidFill>
          <a:prstDash val="solid"/>
        </a:ln>
        <a:ln w="15240" cap="flat" cmpd="sng" algn="ctr">
          <a:solidFill>
            <a:schemeClr val="phClr">
              <a:tint val="25000"/>
              <a:alpha val="25000"/>
            </a:schemeClr>
          </a:solidFill>
          <a:prstDash val="solid"/>
        </a:ln>
      </a:lnStyleLst>
      <a:effectStyleLst>
        <a:effectStyle>
          <a:effectLst/>
        </a:effectStyle>
        <a:effectStyle>
          <a:effectLst/>
        </a:effectStyle>
        <a:effectStyle>
          <a:effectLst>
            <a:outerShdw blurRad="44450" dist="21590" dir="5400000" rotWithShape="0">
              <a:srgbClr val="000000">
                <a:alpha val="40000"/>
              </a:srgbClr>
            </a:outerShdw>
          </a:effectLst>
          <a:scene3d>
            <a:camera prst="orthographicFront">
              <a:rot lat="0" lon="0" rev="0"/>
            </a:camera>
            <a:lightRig rig="flat" dir="t">
              <a:rot lat="0" lon="0" rev="3600000"/>
            </a:lightRig>
          </a:scene3d>
          <a:sp3d prstMaterial="flat">
            <a:bevelT w="28575" h="41275" prst="coolSlant"/>
          </a:sp3d>
        </a:effectStyle>
      </a:effectStyleLst>
      <a:bgFillStyleLst>
        <a:solidFill>
          <a:schemeClr val="phClr"/>
        </a:solidFill>
        <a:gradFill rotWithShape="1">
          <a:gsLst>
            <a:gs pos="0">
              <a:schemeClr val="phClr">
                <a:tint val="90000"/>
                <a:lumMod val="120000"/>
              </a:schemeClr>
            </a:gs>
            <a:gs pos="100000">
              <a:schemeClr val="phClr">
                <a:shade val="98000"/>
                <a:satMod val="120000"/>
                <a:lumMod val="98000"/>
              </a:schemeClr>
            </a:gs>
          </a:gsLst>
          <a:lin ang="5400000" scaled="0"/>
        </a:gradFill>
        <a:gradFill rotWithShape="1">
          <a:gsLst>
            <a:gs pos="0">
              <a:schemeClr val="phClr">
                <a:tint val="90000"/>
                <a:satMod val="92000"/>
                <a:lumMod val="120000"/>
              </a:schemeClr>
            </a:gs>
            <a:gs pos="100000">
              <a:schemeClr val="phClr">
                <a:shade val="98000"/>
                <a:satMod val="120000"/>
                <a:lumMod val="98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Wisp" id="{7CB32D59-10C0-40DD-B7BD-2E94284A981C}" vid="{24B1A44C-C006-48B2-A4D7-E5549B3D8CD4}"/>
    </a:ext>
  </a:extLst>
</a:theme>
</file>

<file path=xl/theme/themeOverride1.xml><?xml version="1.0" encoding="utf-8"?>
<a:themeOverride xmlns:a="http://schemas.openxmlformats.org/drawingml/2006/main">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Wisp">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mokey Glass">
    <a:fillStyleLst>
      <a:solidFill>
        <a:schemeClr val="phClr"/>
      </a:solidFill>
      <a:gradFill rotWithShape="1">
        <a:gsLst>
          <a:gs pos="0">
            <a:schemeClr val="phClr">
              <a:tint val="83000"/>
              <a:shade val="100000"/>
              <a:satMod val="100000"/>
            </a:schemeClr>
          </a:gs>
          <a:gs pos="100000">
            <a:schemeClr val="phClr">
              <a:tint val="61000"/>
              <a:alpha val="100000"/>
              <a:satMod val="180000"/>
            </a:schemeClr>
          </a:gs>
        </a:gsLst>
        <a:path path="circle">
          <a:fillToRect l="100000" t="100000" r="100000" b="100000"/>
        </a:path>
      </a:gradFill>
      <a:gradFill rotWithShape="1">
        <a:gsLst>
          <a:gs pos="0">
            <a:schemeClr val="phClr">
              <a:shade val="85000"/>
            </a:schemeClr>
          </a:gs>
          <a:gs pos="100000">
            <a:schemeClr val="phClr">
              <a:tint val="90000"/>
              <a:alpha val="100000"/>
              <a:satMod val="180000"/>
            </a:schemeClr>
          </a:gs>
        </a:gsLst>
        <a:path path="circle">
          <a:fillToRect l="100000" t="100000" r="100000" b="100000"/>
        </a:path>
      </a:gradFill>
    </a:fillStyleLst>
    <a:lnStyleLst>
      <a:ln w="9525" cap="flat" cmpd="sng" algn="ctr">
        <a:solidFill>
          <a:schemeClr val="phClr"/>
        </a:solidFill>
        <a:prstDash val="solid"/>
      </a:ln>
      <a:ln w="10795" cap="flat" cmpd="sng" algn="ctr">
        <a:solidFill>
          <a:schemeClr val="phClr"/>
        </a:solidFill>
        <a:prstDash val="solid"/>
      </a:ln>
      <a:ln w="15240" cap="flat" cmpd="sng" algn="ctr">
        <a:solidFill>
          <a:schemeClr val="phClr">
            <a:tint val="25000"/>
            <a:alpha val="25000"/>
          </a:schemeClr>
        </a:solidFill>
        <a:prstDash val="solid"/>
      </a:ln>
    </a:lnStyleLst>
    <a:effectStyleLst>
      <a:effectStyle>
        <a:effectLst/>
      </a:effectStyle>
      <a:effectStyle>
        <a:effectLst/>
      </a:effectStyle>
      <a:effectStyle>
        <a:effectLst>
          <a:outerShdw blurRad="44450" dist="21590" dir="5400000" rotWithShape="0">
            <a:srgbClr val="000000">
              <a:alpha val="40000"/>
            </a:srgbClr>
          </a:outerShdw>
        </a:effectLst>
        <a:scene3d>
          <a:camera prst="orthographicFront">
            <a:rot lat="0" lon="0" rev="0"/>
          </a:camera>
          <a:lightRig rig="flat" dir="t">
            <a:rot lat="0" lon="0" rev="3600000"/>
          </a:lightRig>
        </a:scene3d>
        <a:sp3d prstMaterial="flat">
          <a:bevelT w="28575" h="41275" prst="coolSlant"/>
        </a:sp3d>
      </a:effectStyle>
    </a:effectStyleLst>
    <a:bgFillStyleLst>
      <a:solidFill>
        <a:schemeClr val="phClr"/>
      </a:solidFill>
      <a:gradFill rotWithShape="1">
        <a:gsLst>
          <a:gs pos="0">
            <a:schemeClr val="phClr">
              <a:tint val="90000"/>
              <a:lumMod val="120000"/>
            </a:schemeClr>
          </a:gs>
          <a:gs pos="100000">
            <a:schemeClr val="phClr">
              <a:shade val="98000"/>
              <a:satMod val="120000"/>
              <a:lumMod val="98000"/>
            </a:schemeClr>
          </a:gs>
        </a:gsLst>
        <a:lin ang="5400000" scaled="0"/>
      </a:gradFill>
      <a:gradFill rotWithShape="1">
        <a:gsLst>
          <a:gs pos="0">
            <a:schemeClr val="phClr">
              <a:tint val="90000"/>
              <a:satMod val="92000"/>
              <a:lumMod val="120000"/>
            </a:schemeClr>
          </a:gs>
          <a:gs pos="100000">
            <a:schemeClr val="phClr">
              <a:shade val="98000"/>
              <a:satMod val="120000"/>
              <a:lumMod val="98000"/>
            </a:schemeClr>
          </a:gs>
        </a:gsLst>
        <a:path path="circle">
          <a:fillToRect l="50000" t="50000" r="100000" b="10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FC153-B99A-4430-B48E-7027666AF64C}">
  <dimension ref="A1:N118"/>
  <sheetViews>
    <sheetView topLeftCell="A88" workbookViewId="0">
      <selection activeCell="K118" sqref="K118"/>
    </sheetView>
  </sheetViews>
  <sheetFormatPr defaultRowHeight="13.8" x14ac:dyDescent="0.25"/>
  <cols>
    <col min="1" max="1" width="10.296875" customWidth="1"/>
    <col min="2" max="2" width="6.59765625" customWidth="1"/>
    <col min="3" max="3" width="15.3984375" customWidth="1"/>
    <col min="4" max="4" width="15.09765625" customWidth="1"/>
    <col min="5" max="5" width="8.8984375" customWidth="1"/>
    <col min="6" max="6" width="17.796875" customWidth="1"/>
    <col min="7" max="7" width="13.09765625" customWidth="1"/>
    <col min="8" max="8" width="15.5" customWidth="1"/>
    <col min="9" max="9" width="20.5" customWidth="1"/>
    <col min="10" max="10" width="14.296875" customWidth="1"/>
    <col min="11" max="11" width="17.09765625" customWidth="1"/>
    <col min="12" max="12" width="14.3984375" customWidth="1"/>
    <col min="13" max="13" width="14.796875" customWidth="1"/>
    <col min="14" max="14" width="20.796875" customWidth="1"/>
  </cols>
  <sheetData>
    <row r="1" spans="1:14" x14ac:dyDescent="0.25">
      <c r="A1" t="s">
        <v>0</v>
      </c>
      <c r="B1" t="s">
        <v>1</v>
      </c>
      <c r="C1" t="s">
        <v>2</v>
      </c>
      <c r="D1" t="s">
        <v>3</v>
      </c>
      <c r="E1" t="s">
        <v>4</v>
      </c>
      <c r="F1" t="s">
        <v>5</v>
      </c>
      <c r="G1" t="s">
        <v>6</v>
      </c>
      <c r="H1" t="s">
        <v>7</v>
      </c>
      <c r="I1" t="s">
        <v>8</v>
      </c>
      <c r="J1" t="s">
        <v>9</v>
      </c>
      <c r="K1" t="s">
        <v>10</v>
      </c>
      <c r="L1" t="s">
        <v>11</v>
      </c>
      <c r="M1" t="s">
        <v>49</v>
      </c>
      <c r="N1" t="s">
        <v>50</v>
      </c>
    </row>
    <row r="2" spans="1:14" x14ac:dyDescent="0.25">
      <c r="A2" s="1">
        <v>46058</v>
      </c>
      <c r="B2" s="2" t="s">
        <v>12</v>
      </c>
      <c r="C2" s="2" t="s">
        <v>13</v>
      </c>
      <c r="D2" s="2" t="s">
        <v>14</v>
      </c>
      <c r="E2" s="2" t="s">
        <v>15</v>
      </c>
      <c r="F2">
        <v>225</v>
      </c>
      <c r="G2">
        <v>192</v>
      </c>
      <c r="H2">
        <v>175</v>
      </c>
      <c r="I2">
        <v>328</v>
      </c>
      <c r="J2">
        <v>311</v>
      </c>
      <c r="K2" t="s">
        <v>16</v>
      </c>
      <c r="L2" s="2" t="s">
        <v>17</v>
      </c>
      <c r="M2">
        <f xml:space="preserve"> Production_Inventory_Raw_Data[[#This Row],[Forecast Demand]]*10%</f>
        <v>22.5</v>
      </c>
      <c r="N2">
        <f>MAX(0,Production_Inventory_Raw_Data[[#This Row],[Forecast Demand]]-Production_Inventory_Raw_Data[[#This Row],[Closing Stock]]+Production_Inventory_Raw_Data[[#This Row],[Safety stock]])</f>
        <v>0</v>
      </c>
    </row>
    <row r="3" spans="1:14" x14ac:dyDescent="0.25">
      <c r="A3" s="1">
        <v>46030</v>
      </c>
      <c r="B3" s="2" t="s">
        <v>18</v>
      </c>
      <c r="C3" s="2" t="s">
        <v>19</v>
      </c>
      <c r="D3" s="2" t="s">
        <v>20</v>
      </c>
      <c r="E3" s="2" t="s">
        <v>15</v>
      </c>
      <c r="F3">
        <v>289</v>
      </c>
      <c r="G3">
        <v>277</v>
      </c>
      <c r="H3">
        <v>266</v>
      </c>
      <c r="I3">
        <v>132</v>
      </c>
      <c r="J3">
        <v>121</v>
      </c>
      <c r="K3" t="s">
        <v>21</v>
      </c>
      <c r="L3" s="2" t="s">
        <v>22</v>
      </c>
      <c r="M3">
        <f xml:space="preserve"> Production_Inventory_Raw_Data[[#This Row],[Forecast Demand]]*10%</f>
        <v>28.900000000000002</v>
      </c>
      <c r="N3">
        <f>MAX(0,Production_Inventory_Raw_Data[[#This Row],[Forecast Demand]]-Production_Inventory_Raw_Data[[#This Row],[Closing Stock]]+Production_Inventory_Raw_Data[[#This Row],[Safety stock]])</f>
        <v>196.9</v>
      </c>
    </row>
    <row r="4" spans="1:14" x14ac:dyDescent="0.25">
      <c r="A4" s="1">
        <v>46166</v>
      </c>
      <c r="B4" s="2" t="s">
        <v>23</v>
      </c>
      <c r="C4" s="2" t="s">
        <v>24</v>
      </c>
      <c r="D4" s="2" t="s">
        <v>25</v>
      </c>
      <c r="E4" s="2" t="s">
        <v>26</v>
      </c>
      <c r="F4">
        <v>438</v>
      </c>
      <c r="G4">
        <v>435</v>
      </c>
      <c r="H4">
        <v>358</v>
      </c>
      <c r="I4">
        <v>127</v>
      </c>
      <c r="J4">
        <v>50</v>
      </c>
      <c r="K4" t="s">
        <v>27</v>
      </c>
      <c r="L4" s="2" t="s">
        <v>28</v>
      </c>
      <c r="M4">
        <f xml:space="preserve"> Production_Inventory_Raw_Data[[#This Row],[Forecast Demand]]*10%</f>
        <v>43.800000000000004</v>
      </c>
      <c r="N4">
        <f>MAX(0,Production_Inventory_Raw_Data[[#This Row],[Forecast Demand]]-Production_Inventory_Raw_Data[[#This Row],[Closing Stock]]+Production_Inventory_Raw_Data[[#This Row],[Safety stock]])</f>
        <v>431.8</v>
      </c>
    </row>
    <row r="5" spans="1:14" x14ac:dyDescent="0.25">
      <c r="A5" s="1">
        <v>46094</v>
      </c>
      <c r="B5" s="2" t="s">
        <v>18</v>
      </c>
      <c r="C5" s="2" t="s">
        <v>19</v>
      </c>
      <c r="D5" s="2" t="s">
        <v>20</v>
      </c>
      <c r="E5" s="2" t="s">
        <v>15</v>
      </c>
      <c r="F5">
        <v>629</v>
      </c>
      <c r="G5">
        <v>496</v>
      </c>
      <c r="H5">
        <v>279</v>
      </c>
      <c r="I5">
        <v>703</v>
      </c>
      <c r="J5">
        <v>486</v>
      </c>
      <c r="K5" t="s">
        <v>16</v>
      </c>
      <c r="L5" s="2" t="s">
        <v>29</v>
      </c>
      <c r="M5">
        <f xml:space="preserve"> Production_Inventory_Raw_Data[[#This Row],[Forecast Demand]]*10%</f>
        <v>62.900000000000006</v>
      </c>
      <c r="N5">
        <f>MAX(0,Production_Inventory_Raw_Data[[#This Row],[Forecast Demand]]-Production_Inventory_Raw_Data[[#This Row],[Closing Stock]]+Production_Inventory_Raw_Data[[#This Row],[Safety stock]])</f>
        <v>205.9</v>
      </c>
    </row>
    <row r="6" spans="1:14" x14ac:dyDescent="0.25">
      <c r="A6" s="1">
        <v>46062</v>
      </c>
      <c r="B6" s="2" t="s">
        <v>30</v>
      </c>
      <c r="C6" s="2" t="s">
        <v>31</v>
      </c>
      <c r="D6" s="2" t="s">
        <v>14</v>
      </c>
      <c r="E6" s="2" t="s">
        <v>26</v>
      </c>
      <c r="F6">
        <v>914</v>
      </c>
      <c r="G6">
        <v>855</v>
      </c>
      <c r="H6">
        <v>224</v>
      </c>
      <c r="I6">
        <v>384</v>
      </c>
      <c r="J6">
        <v>0</v>
      </c>
      <c r="K6" t="s">
        <v>27</v>
      </c>
      <c r="L6" s="2" t="s">
        <v>17</v>
      </c>
      <c r="M6">
        <f xml:space="preserve"> Production_Inventory_Raw_Data[[#This Row],[Forecast Demand]]*10%</f>
        <v>91.4</v>
      </c>
      <c r="N6">
        <f>MAX(0,Production_Inventory_Raw_Data[[#This Row],[Forecast Demand]]-Production_Inventory_Raw_Data[[#This Row],[Closing Stock]]+Production_Inventory_Raw_Data[[#This Row],[Safety stock]])</f>
        <v>1005.4</v>
      </c>
    </row>
    <row r="7" spans="1:14" x14ac:dyDescent="0.25">
      <c r="A7" s="1">
        <v>46114</v>
      </c>
      <c r="B7" s="2" t="s">
        <v>32</v>
      </c>
      <c r="C7" s="2" t="s">
        <v>33</v>
      </c>
      <c r="D7" s="2" t="s">
        <v>34</v>
      </c>
      <c r="E7" s="2" t="s">
        <v>35</v>
      </c>
      <c r="F7">
        <v>304</v>
      </c>
      <c r="G7">
        <v>223</v>
      </c>
      <c r="H7">
        <v>244</v>
      </c>
      <c r="I7">
        <v>199</v>
      </c>
      <c r="J7">
        <v>220</v>
      </c>
      <c r="K7" t="s">
        <v>21</v>
      </c>
      <c r="L7" s="2" t="s">
        <v>36</v>
      </c>
      <c r="M7">
        <f xml:space="preserve"> Production_Inventory_Raw_Data[[#This Row],[Forecast Demand]]*10%</f>
        <v>30.400000000000002</v>
      </c>
      <c r="N7">
        <f>MAX(0,Production_Inventory_Raw_Data[[#This Row],[Forecast Demand]]-Production_Inventory_Raw_Data[[#This Row],[Closing Stock]]+Production_Inventory_Raw_Data[[#This Row],[Safety stock]])</f>
        <v>114.4</v>
      </c>
    </row>
    <row r="8" spans="1:14" x14ac:dyDescent="0.25">
      <c r="A8" s="1">
        <v>46160</v>
      </c>
      <c r="B8" s="2" t="s">
        <v>37</v>
      </c>
      <c r="C8" s="2" t="s">
        <v>38</v>
      </c>
      <c r="D8" s="2" t="s">
        <v>25</v>
      </c>
      <c r="E8" s="2" t="s">
        <v>15</v>
      </c>
      <c r="F8">
        <v>470</v>
      </c>
      <c r="G8">
        <v>340</v>
      </c>
      <c r="H8">
        <v>423</v>
      </c>
      <c r="I8">
        <v>570</v>
      </c>
      <c r="J8">
        <v>653</v>
      </c>
      <c r="K8" t="s">
        <v>16</v>
      </c>
      <c r="L8" s="2" t="s">
        <v>28</v>
      </c>
      <c r="M8">
        <f xml:space="preserve"> Production_Inventory_Raw_Data[[#This Row],[Forecast Demand]]*10%</f>
        <v>47</v>
      </c>
      <c r="N8">
        <f>MAX(0,Production_Inventory_Raw_Data[[#This Row],[Forecast Demand]]-Production_Inventory_Raw_Data[[#This Row],[Closing Stock]]+Production_Inventory_Raw_Data[[#This Row],[Safety stock]])</f>
        <v>0</v>
      </c>
    </row>
    <row r="9" spans="1:14" x14ac:dyDescent="0.25">
      <c r="A9" s="1">
        <v>46181</v>
      </c>
      <c r="B9" s="2" t="s">
        <v>39</v>
      </c>
      <c r="C9" s="2" t="s">
        <v>40</v>
      </c>
      <c r="D9" s="2" t="s">
        <v>25</v>
      </c>
      <c r="E9" s="2" t="s">
        <v>35</v>
      </c>
      <c r="F9">
        <v>280</v>
      </c>
      <c r="G9">
        <v>266</v>
      </c>
      <c r="H9">
        <v>200</v>
      </c>
      <c r="I9">
        <v>743</v>
      </c>
      <c r="J9">
        <v>677</v>
      </c>
      <c r="K9" t="s">
        <v>16</v>
      </c>
      <c r="L9" s="2" t="s">
        <v>41</v>
      </c>
      <c r="M9">
        <f xml:space="preserve"> Production_Inventory_Raw_Data[[#This Row],[Forecast Demand]]*10%</f>
        <v>28</v>
      </c>
      <c r="N9">
        <f>MAX(0,Production_Inventory_Raw_Data[[#This Row],[Forecast Demand]]-Production_Inventory_Raw_Data[[#This Row],[Closing Stock]]+Production_Inventory_Raw_Data[[#This Row],[Safety stock]])</f>
        <v>0</v>
      </c>
    </row>
    <row r="10" spans="1:14" x14ac:dyDescent="0.25">
      <c r="A10" s="1">
        <v>46192</v>
      </c>
      <c r="B10" s="2" t="s">
        <v>37</v>
      </c>
      <c r="C10" s="2" t="s">
        <v>38</v>
      </c>
      <c r="D10" s="2" t="s">
        <v>25</v>
      </c>
      <c r="E10" s="2" t="s">
        <v>26</v>
      </c>
      <c r="F10">
        <v>396</v>
      </c>
      <c r="G10">
        <v>367</v>
      </c>
      <c r="H10">
        <v>85</v>
      </c>
      <c r="I10">
        <v>146</v>
      </c>
      <c r="J10">
        <v>0</v>
      </c>
      <c r="K10" t="s">
        <v>27</v>
      </c>
      <c r="L10" s="2" t="s">
        <v>41</v>
      </c>
      <c r="M10">
        <f xml:space="preserve"> Production_Inventory_Raw_Data[[#This Row],[Forecast Demand]]*10%</f>
        <v>39.6</v>
      </c>
      <c r="N10">
        <f>MAX(0,Production_Inventory_Raw_Data[[#This Row],[Forecast Demand]]-Production_Inventory_Raw_Data[[#This Row],[Closing Stock]]+Production_Inventory_Raw_Data[[#This Row],[Safety stock]])</f>
        <v>435.6</v>
      </c>
    </row>
    <row r="11" spans="1:14" x14ac:dyDescent="0.25">
      <c r="A11" s="1">
        <v>46120</v>
      </c>
      <c r="B11" s="2" t="s">
        <v>42</v>
      </c>
      <c r="C11" s="2" t="s">
        <v>43</v>
      </c>
      <c r="D11" s="2" t="s">
        <v>34</v>
      </c>
      <c r="E11" s="2" t="s">
        <v>35</v>
      </c>
      <c r="F11">
        <v>281</v>
      </c>
      <c r="G11">
        <v>225</v>
      </c>
      <c r="H11">
        <v>493</v>
      </c>
      <c r="I11">
        <v>203</v>
      </c>
      <c r="J11">
        <v>471</v>
      </c>
      <c r="K11" t="s">
        <v>16</v>
      </c>
      <c r="L11" s="2" t="s">
        <v>36</v>
      </c>
      <c r="M11">
        <f xml:space="preserve"> Production_Inventory_Raw_Data[[#This Row],[Forecast Demand]]*10%</f>
        <v>28.1</v>
      </c>
      <c r="N11">
        <f>MAX(0,Production_Inventory_Raw_Data[[#This Row],[Forecast Demand]]-Production_Inventory_Raw_Data[[#This Row],[Closing Stock]]+Production_Inventory_Raw_Data[[#This Row],[Safety stock]])</f>
        <v>0</v>
      </c>
    </row>
    <row r="12" spans="1:14" x14ac:dyDescent="0.25">
      <c r="A12" s="1">
        <v>46113</v>
      </c>
      <c r="B12" s="2" t="s">
        <v>44</v>
      </c>
      <c r="C12" s="2" t="s">
        <v>45</v>
      </c>
      <c r="D12" s="2" t="s">
        <v>14</v>
      </c>
      <c r="E12" s="2" t="s">
        <v>26</v>
      </c>
      <c r="F12">
        <v>850</v>
      </c>
      <c r="G12">
        <v>781</v>
      </c>
      <c r="H12">
        <v>133</v>
      </c>
      <c r="I12">
        <v>479</v>
      </c>
      <c r="J12">
        <v>0</v>
      </c>
      <c r="K12" t="s">
        <v>27</v>
      </c>
      <c r="L12" s="2" t="s">
        <v>36</v>
      </c>
      <c r="M12">
        <f xml:space="preserve"> Production_Inventory_Raw_Data[[#This Row],[Forecast Demand]]*10%</f>
        <v>85</v>
      </c>
      <c r="N12">
        <f>MAX(0,Production_Inventory_Raw_Data[[#This Row],[Forecast Demand]]-Production_Inventory_Raw_Data[[#This Row],[Closing Stock]]+Production_Inventory_Raw_Data[[#This Row],[Safety stock]])</f>
        <v>935</v>
      </c>
    </row>
    <row r="13" spans="1:14" x14ac:dyDescent="0.25">
      <c r="A13" s="1">
        <v>46066</v>
      </c>
      <c r="B13" s="2" t="s">
        <v>42</v>
      </c>
      <c r="C13" s="2" t="s">
        <v>43</v>
      </c>
      <c r="D13" s="2" t="s">
        <v>34</v>
      </c>
      <c r="E13" s="2" t="s">
        <v>26</v>
      </c>
      <c r="F13">
        <v>918</v>
      </c>
      <c r="G13">
        <v>678</v>
      </c>
      <c r="H13">
        <v>361</v>
      </c>
      <c r="I13">
        <v>750</v>
      </c>
      <c r="J13">
        <v>433</v>
      </c>
      <c r="K13" t="s">
        <v>16</v>
      </c>
      <c r="L13" s="2" t="s">
        <v>17</v>
      </c>
      <c r="M13">
        <f xml:space="preserve"> Production_Inventory_Raw_Data[[#This Row],[Forecast Demand]]*10%</f>
        <v>91.800000000000011</v>
      </c>
      <c r="N13">
        <f>MAX(0,Production_Inventory_Raw_Data[[#This Row],[Forecast Demand]]-Production_Inventory_Raw_Data[[#This Row],[Closing Stock]]+Production_Inventory_Raw_Data[[#This Row],[Safety stock]])</f>
        <v>576.79999999999995</v>
      </c>
    </row>
    <row r="14" spans="1:14" x14ac:dyDescent="0.25">
      <c r="A14" s="1">
        <v>46199</v>
      </c>
      <c r="B14" s="2" t="s">
        <v>30</v>
      </c>
      <c r="C14" s="2" t="s">
        <v>31</v>
      </c>
      <c r="D14" s="2" t="s">
        <v>14</v>
      </c>
      <c r="E14" s="2" t="s">
        <v>26</v>
      </c>
      <c r="F14">
        <v>673</v>
      </c>
      <c r="G14">
        <v>568</v>
      </c>
      <c r="H14">
        <v>188</v>
      </c>
      <c r="I14">
        <v>755</v>
      </c>
      <c r="J14">
        <v>375</v>
      </c>
      <c r="K14" t="s">
        <v>16</v>
      </c>
      <c r="L14" s="2" t="s">
        <v>41</v>
      </c>
      <c r="M14">
        <f xml:space="preserve"> Production_Inventory_Raw_Data[[#This Row],[Forecast Demand]]*10%</f>
        <v>67.3</v>
      </c>
      <c r="N14">
        <f>MAX(0,Production_Inventory_Raw_Data[[#This Row],[Forecast Demand]]-Production_Inventory_Raw_Data[[#This Row],[Closing Stock]]+Production_Inventory_Raw_Data[[#This Row],[Safety stock]])</f>
        <v>365.3</v>
      </c>
    </row>
    <row r="15" spans="1:14" x14ac:dyDescent="0.25">
      <c r="A15" s="1">
        <v>46103</v>
      </c>
      <c r="B15" s="2" t="s">
        <v>32</v>
      </c>
      <c r="C15" s="2" t="s">
        <v>33</v>
      </c>
      <c r="D15" s="2" t="s">
        <v>34</v>
      </c>
      <c r="E15" s="2" t="s">
        <v>46</v>
      </c>
      <c r="F15">
        <v>986</v>
      </c>
      <c r="G15">
        <v>718</v>
      </c>
      <c r="H15">
        <v>167</v>
      </c>
      <c r="I15">
        <v>132</v>
      </c>
      <c r="J15">
        <v>0</v>
      </c>
      <c r="K15" t="s">
        <v>27</v>
      </c>
      <c r="L15" s="2" t="s">
        <v>29</v>
      </c>
      <c r="M15">
        <f xml:space="preserve"> Production_Inventory_Raw_Data[[#This Row],[Forecast Demand]]*10%</f>
        <v>98.600000000000009</v>
      </c>
      <c r="N15">
        <f>MAX(0,Production_Inventory_Raw_Data[[#This Row],[Forecast Demand]]-Production_Inventory_Raw_Data[[#This Row],[Closing Stock]]+Production_Inventory_Raw_Data[[#This Row],[Safety stock]])</f>
        <v>1084.5999999999999</v>
      </c>
    </row>
    <row r="16" spans="1:14" x14ac:dyDescent="0.25">
      <c r="A16" s="1">
        <v>46090</v>
      </c>
      <c r="B16" s="2" t="s">
        <v>44</v>
      </c>
      <c r="C16" s="2" t="s">
        <v>45</v>
      </c>
      <c r="D16" s="2" t="s">
        <v>14</v>
      </c>
      <c r="E16" s="2" t="s">
        <v>26</v>
      </c>
      <c r="F16">
        <v>605</v>
      </c>
      <c r="G16">
        <v>587</v>
      </c>
      <c r="H16">
        <v>284</v>
      </c>
      <c r="I16">
        <v>246</v>
      </c>
      <c r="J16">
        <v>0</v>
      </c>
      <c r="K16" t="s">
        <v>27</v>
      </c>
      <c r="L16" s="2" t="s">
        <v>29</v>
      </c>
      <c r="M16">
        <f xml:space="preserve"> Production_Inventory_Raw_Data[[#This Row],[Forecast Demand]]*10%</f>
        <v>60.5</v>
      </c>
      <c r="N16">
        <f>MAX(0,Production_Inventory_Raw_Data[[#This Row],[Forecast Demand]]-Production_Inventory_Raw_Data[[#This Row],[Closing Stock]]+Production_Inventory_Raw_Data[[#This Row],[Safety stock]])</f>
        <v>665.5</v>
      </c>
    </row>
    <row r="17" spans="1:14" x14ac:dyDescent="0.25">
      <c r="A17" s="1">
        <v>46172</v>
      </c>
      <c r="B17" s="2" t="s">
        <v>23</v>
      </c>
      <c r="C17" s="2" t="s">
        <v>24</v>
      </c>
      <c r="D17" s="2" t="s">
        <v>25</v>
      </c>
      <c r="E17" s="2" t="s">
        <v>46</v>
      </c>
      <c r="F17">
        <v>962</v>
      </c>
      <c r="G17">
        <v>960</v>
      </c>
      <c r="H17">
        <v>325</v>
      </c>
      <c r="I17">
        <v>369</v>
      </c>
      <c r="J17">
        <v>0</v>
      </c>
      <c r="K17" t="s">
        <v>27</v>
      </c>
      <c r="L17" s="2" t="s">
        <v>28</v>
      </c>
      <c r="M17">
        <f xml:space="preserve"> Production_Inventory_Raw_Data[[#This Row],[Forecast Demand]]*10%</f>
        <v>96.2</v>
      </c>
      <c r="N17">
        <f>MAX(0,Production_Inventory_Raw_Data[[#This Row],[Forecast Demand]]-Production_Inventory_Raw_Data[[#This Row],[Closing Stock]]+Production_Inventory_Raw_Data[[#This Row],[Safety stock]])</f>
        <v>1058.2</v>
      </c>
    </row>
    <row r="18" spans="1:14" x14ac:dyDescent="0.25">
      <c r="A18" s="1">
        <v>46153</v>
      </c>
      <c r="B18" s="2" t="s">
        <v>37</v>
      </c>
      <c r="C18" s="2" t="s">
        <v>38</v>
      </c>
      <c r="D18" s="2" t="s">
        <v>25</v>
      </c>
      <c r="E18" s="2" t="s">
        <v>46</v>
      </c>
      <c r="F18">
        <v>608</v>
      </c>
      <c r="G18">
        <v>517</v>
      </c>
      <c r="H18">
        <v>162</v>
      </c>
      <c r="I18">
        <v>241</v>
      </c>
      <c r="J18">
        <v>0</v>
      </c>
      <c r="K18" t="s">
        <v>27</v>
      </c>
      <c r="L18" s="2" t="s">
        <v>28</v>
      </c>
      <c r="M18">
        <f xml:space="preserve"> Production_Inventory_Raw_Data[[#This Row],[Forecast Demand]]*10%</f>
        <v>60.800000000000004</v>
      </c>
      <c r="N18">
        <f>MAX(0,Production_Inventory_Raw_Data[[#This Row],[Forecast Demand]]-Production_Inventory_Raw_Data[[#This Row],[Closing Stock]]+Production_Inventory_Raw_Data[[#This Row],[Safety stock]])</f>
        <v>668.8</v>
      </c>
    </row>
    <row r="19" spans="1:14" x14ac:dyDescent="0.25">
      <c r="A19" s="1">
        <v>46175</v>
      </c>
      <c r="B19" s="2" t="s">
        <v>39</v>
      </c>
      <c r="C19" s="2" t="s">
        <v>40</v>
      </c>
      <c r="D19" s="2" t="s">
        <v>25</v>
      </c>
      <c r="E19" s="2" t="s">
        <v>46</v>
      </c>
      <c r="F19">
        <v>810</v>
      </c>
      <c r="G19">
        <v>583</v>
      </c>
      <c r="H19">
        <v>247</v>
      </c>
      <c r="I19">
        <v>490</v>
      </c>
      <c r="J19">
        <v>154</v>
      </c>
      <c r="K19" t="s">
        <v>21</v>
      </c>
      <c r="L19" s="2" t="s">
        <v>41</v>
      </c>
      <c r="M19">
        <f xml:space="preserve"> Production_Inventory_Raw_Data[[#This Row],[Forecast Demand]]*10%</f>
        <v>81</v>
      </c>
      <c r="N19">
        <f>MAX(0,Production_Inventory_Raw_Data[[#This Row],[Forecast Demand]]-Production_Inventory_Raw_Data[[#This Row],[Closing Stock]]+Production_Inventory_Raw_Data[[#This Row],[Safety stock]])</f>
        <v>737</v>
      </c>
    </row>
    <row r="20" spans="1:14" x14ac:dyDescent="0.25">
      <c r="A20" s="1">
        <v>46052</v>
      </c>
      <c r="B20" s="2" t="s">
        <v>18</v>
      </c>
      <c r="C20" s="2" t="s">
        <v>19</v>
      </c>
      <c r="D20" s="2" t="s">
        <v>20</v>
      </c>
      <c r="E20" s="2" t="s">
        <v>35</v>
      </c>
      <c r="F20">
        <v>457</v>
      </c>
      <c r="G20">
        <v>321</v>
      </c>
      <c r="H20">
        <v>398</v>
      </c>
      <c r="I20">
        <v>838</v>
      </c>
      <c r="J20">
        <v>915</v>
      </c>
      <c r="K20" t="s">
        <v>16</v>
      </c>
      <c r="L20" s="2" t="s">
        <v>22</v>
      </c>
      <c r="M20">
        <f xml:space="preserve"> Production_Inventory_Raw_Data[[#This Row],[Forecast Demand]]*10%</f>
        <v>45.7</v>
      </c>
      <c r="N20">
        <f>MAX(0,Production_Inventory_Raw_Data[[#This Row],[Forecast Demand]]-Production_Inventory_Raw_Data[[#This Row],[Closing Stock]]+Production_Inventory_Raw_Data[[#This Row],[Safety stock]])</f>
        <v>0</v>
      </c>
    </row>
    <row r="21" spans="1:14" x14ac:dyDescent="0.25">
      <c r="A21" s="1">
        <v>46139</v>
      </c>
      <c r="B21" s="2" t="s">
        <v>32</v>
      </c>
      <c r="C21" s="2" t="s">
        <v>33</v>
      </c>
      <c r="D21" s="2" t="s">
        <v>34</v>
      </c>
      <c r="E21" s="2" t="s">
        <v>15</v>
      </c>
      <c r="F21">
        <v>314</v>
      </c>
      <c r="G21">
        <v>256</v>
      </c>
      <c r="H21">
        <v>272</v>
      </c>
      <c r="I21">
        <v>261</v>
      </c>
      <c r="J21">
        <v>277</v>
      </c>
      <c r="K21" t="s">
        <v>21</v>
      </c>
      <c r="L21" s="2" t="s">
        <v>36</v>
      </c>
      <c r="M21">
        <f xml:space="preserve"> Production_Inventory_Raw_Data[[#This Row],[Forecast Demand]]*10%</f>
        <v>31.400000000000002</v>
      </c>
      <c r="N21">
        <f>MAX(0,Production_Inventory_Raw_Data[[#This Row],[Forecast Demand]]-Production_Inventory_Raw_Data[[#This Row],[Closing Stock]]+Production_Inventory_Raw_Data[[#This Row],[Safety stock]])</f>
        <v>68.400000000000006</v>
      </c>
    </row>
    <row r="22" spans="1:14" x14ac:dyDescent="0.25">
      <c r="A22" s="1">
        <v>46050</v>
      </c>
      <c r="B22" s="2" t="s">
        <v>42</v>
      </c>
      <c r="C22" s="2" t="s">
        <v>43</v>
      </c>
      <c r="D22" s="2" t="s">
        <v>34</v>
      </c>
      <c r="E22" s="2" t="s">
        <v>35</v>
      </c>
      <c r="F22">
        <v>712</v>
      </c>
      <c r="G22">
        <v>693</v>
      </c>
      <c r="H22">
        <v>141</v>
      </c>
      <c r="I22">
        <v>619</v>
      </c>
      <c r="J22">
        <v>67</v>
      </c>
      <c r="K22" t="s">
        <v>27</v>
      </c>
      <c r="L22" s="2" t="s">
        <v>22</v>
      </c>
      <c r="M22">
        <f xml:space="preserve"> Production_Inventory_Raw_Data[[#This Row],[Forecast Demand]]*10%</f>
        <v>71.2</v>
      </c>
      <c r="N22">
        <f>MAX(0,Production_Inventory_Raw_Data[[#This Row],[Forecast Demand]]-Production_Inventory_Raw_Data[[#This Row],[Closing Stock]]+Production_Inventory_Raw_Data[[#This Row],[Safety stock]])</f>
        <v>716.2</v>
      </c>
    </row>
    <row r="23" spans="1:14" x14ac:dyDescent="0.25">
      <c r="A23" s="1">
        <v>46064</v>
      </c>
      <c r="B23" s="2" t="s">
        <v>18</v>
      </c>
      <c r="C23" s="2" t="s">
        <v>19</v>
      </c>
      <c r="D23" s="2" t="s">
        <v>20</v>
      </c>
      <c r="E23" s="2" t="s">
        <v>15</v>
      </c>
      <c r="F23">
        <v>823</v>
      </c>
      <c r="G23">
        <v>626</v>
      </c>
      <c r="H23">
        <v>128</v>
      </c>
      <c r="I23">
        <v>482</v>
      </c>
      <c r="J23">
        <v>0</v>
      </c>
      <c r="K23" t="s">
        <v>27</v>
      </c>
      <c r="L23" s="2" t="s">
        <v>17</v>
      </c>
      <c r="M23">
        <f xml:space="preserve"> Production_Inventory_Raw_Data[[#This Row],[Forecast Demand]]*10%</f>
        <v>82.300000000000011</v>
      </c>
      <c r="N23">
        <f>MAX(0,Production_Inventory_Raw_Data[[#This Row],[Forecast Demand]]-Production_Inventory_Raw_Data[[#This Row],[Closing Stock]]+Production_Inventory_Raw_Data[[#This Row],[Safety stock]])</f>
        <v>905.3</v>
      </c>
    </row>
    <row r="24" spans="1:14" x14ac:dyDescent="0.25">
      <c r="A24" s="1">
        <v>46115</v>
      </c>
      <c r="B24" s="2" t="s">
        <v>37</v>
      </c>
      <c r="C24" s="2" t="s">
        <v>38</v>
      </c>
      <c r="D24" s="2" t="s">
        <v>25</v>
      </c>
      <c r="E24" s="2" t="s">
        <v>35</v>
      </c>
      <c r="F24">
        <v>531</v>
      </c>
      <c r="G24">
        <v>496</v>
      </c>
      <c r="H24">
        <v>59</v>
      </c>
      <c r="I24">
        <v>214</v>
      </c>
      <c r="J24">
        <v>0</v>
      </c>
      <c r="K24" t="s">
        <v>27</v>
      </c>
      <c r="L24" s="2" t="s">
        <v>36</v>
      </c>
      <c r="M24">
        <f xml:space="preserve"> Production_Inventory_Raw_Data[[#This Row],[Forecast Demand]]*10%</f>
        <v>53.1</v>
      </c>
      <c r="N24">
        <f>MAX(0,Production_Inventory_Raw_Data[[#This Row],[Forecast Demand]]-Production_Inventory_Raw_Data[[#This Row],[Closing Stock]]+Production_Inventory_Raw_Data[[#This Row],[Safety stock]])</f>
        <v>584.1</v>
      </c>
    </row>
    <row r="25" spans="1:14" x14ac:dyDescent="0.25">
      <c r="A25" s="1">
        <v>46043</v>
      </c>
      <c r="B25" s="2" t="s">
        <v>23</v>
      </c>
      <c r="C25" s="2" t="s">
        <v>24</v>
      </c>
      <c r="D25" s="2" t="s">
        <v>25</v>
      </c>
      <c r="E25" s="2" t="s">
        <v>15</v>
      </c>
      <c r="F25">
        <v>259</v>
      </c>
      <c r="G25">
        <v>211</v>
      </c>
      <c r="H25">
        <v>499</v>
      </c>
      <c r="I25">
        <v>680</v>
      </c>
      <c r="J25">
        <v>968</v>
      </c>
      <c r="K25" t="s">
        <v>16</v>
      </c>
      <c r="L25" s="2" t="s">
        <v>22</v>
      </c>
      <c r="M25">
        <f xml:space="preserve"> Production_Inventory_Raw_Data[[#This Row],[Forecast Demand]]*10%</f>
        <v>25.900000000000002</v>
      </c>
      <c r="N25">
        <f>MAX(0,Production_Inventory_Raw_Data[[#This Row],[Forecast Demand]]-Production_Inventory_Raw_Data[[#This Row],[Closing Stock]]+Production_Inventory_Raw_Data[[#This Row],[Safety stock]])</f>
        <v>0</v>
      </c>
    </row>
    <row r="26" spans="1:14" x14ac:dyDescent="0.25">
      <c r="A26" s="1">
        <v>46055</v>
      </c>
      <c r="B26" s="2" t="s">
        <v>44</v>
      </c>
      <c r="C26" s="2" t="s">
        <v>45</v>
      </c>
      <c r="D26" s="2" t="s">
        <v>14</v>
      </c>
      <c r="E26" s="2" t="s">
        <v>46</v>
      </c>
      <c r="F26">
        <v>270</v>
      </c>
      <c r="G26">
        <v>257</v>
      </c>
      <c r="H26">
        <v>442</v>
      </c>
      <c r="I26">
        <v>228</v>
      </c>
      <c r="J26">
        <v>413</v>
      </c>
      <c r="K26" t="s">
        <v>16</v>
      </c>
      <c r="L26" s="2" t="s">
        <v>17</v>
      </c>
      <c r="M26">
        <f xml:space="preserve"> Production_Inventory_Raw_Data[[#This Row],[Forecast Demand]]*10%</f>
        <v>27</v>
      </c>
      <c r="N26">
        <f>MAX(0,Production_Inventory_Raw_Data[[#This Row],[Forecast Demand]]-Production_Inventory_Raw_Data[[#This Row],[Closing Stock]]+Production_Inventory_Raw_Data[[#This Row],[Safety stock]])</f>
        <v>0</v>
      </c>
    </row>
    <row r="27" spans="1:14" x14ac:dyDescent="0.25">
      <c r="A27" s="1">
        <v>46131</v>
      </c>
      <c r="B27" s="2" t="s">
        <v>18</v>
      </c>
      <c r="C27" s="2" t="s">
        <v>19</v>
      </c>
      <c r="D27" s="2" t="s">
        <v>20</v>
      </c>
      <c r="E27" s="2" t="s">
        <v>26</v>
      </c>
      <c r="F27">
        <v>369</v>
      </c>
      <c r="G27">
        <v>291</v>
      </c>
      <c r="H27">
        <v>320</v>
      </c>
      <c r="I27">
        <v>721</v>
      </c>
      <c r="J27">
        <v>750</v>
      </c>
      <c r="K27" t="s">
        <v>16</v>
      </c>
      <c r="L27" s="2" t="s">
        <v>36</v>
      </c>
      <c r="M27">
        <f xml:space="preserve"> Production_Inventory_Raw_Data[[#This Row],[Forecast Demand]]*10%</f>
        <v>36.9</v>
      </c>
      <c r="N27">
        <f>MAX(0,Production_Inventory_Raw_Data[[#This Row],[Forecast Demand]]-Production_Inventory_Raw_Data[[#This Row],[Closing Stock]]+Production_Inventory_Raw_Data[[#This Row],[Safety stock]])</f>
        <v>0</v>
      </c>
    </row>
    <row r="28" spans="1:14" x14ac:dyDescent="0.25">
      <c r="A28" s="1">
        <v>46125</v>
      </c>
      <c r="B28" s="2" t="s">
        <v>18</v>
      </c>
      <c r="C28" s="2" t="s">
        <v>19</v>
      </c>
      <c r="D28" s="2" t="s">
        <v>20</v>
      </c>
      <c r="E28" s="2" t="s">
        <v>35</v>
      </c>
      <c r="F28">
        <v>973</v>
      </c>
      <c r="G28">
        <v>783</v>
      </c>
      <c r="H28">
        <v>415</v>
      </c>
      <c r="I28">
        <v>419</v>
      </c>
      <c r="J28">
        <v>51</v>
      </c>
      <c r="K28" t="s">
        <v>27</v>
      </c>
      <c r="L28" s="2" t="s">
        <v>36</v>
      </c>
      <c r="M28">
        <f xml:space="preserve"> Production_Inventory_Raw_Data[[#This Row],[Forecast Demand]]*10%</f>
        <v>97.300000000000011</v>
      </c>
      <c r="N28">
        <f>MAX(0,Production_Inventory_Raw_Data[[#This Row],[Forecast Demand]]-Production_Inventory_Raw_Data[[#This Row],[Closing Stock]]+Production_Inventory_Raw_Data[[#This Row],[Safety stock]])</f>
        <v>1019.3</v>
      </c>
    </row>
    <row r="29" spans="1:14" x14ac:dyDescent="0.25">
      <c r="A29" s="1">
        <v>46080</v>
      </c>
      <c r="B29" s="2" t="s">
        <v>44</v>
      </c>
      <c r="C29" s="2" t="s">
        <v>45</v>
      </c>
      <c r="D29" s="2" t="s">
        <v>14</v>
      </c>
      <c r="E29" s="2" t="s">
        <v>15</v>
      </c>
      <c r="F29">
        <v>729</v>
      </c>
      <c r="G29">
        <v>625</v>
      </c>
      <c r="H29">
        <v>111</v>
      </c>
      <c r="I29">
        <v>353</v>
      </c>
      <c r="J29">
        <v>0</v>
      </c>
      <c r="K29" t="s">
        <v>27</v>
      </c>
      <c r="L29" s="2" t="s">
        <v>17</v>
      </c>
      <c r="M29">
        <f xml:space="preserve"> Production_Inventory_Raw_Data[[#This Row],[Forecast Demand]]*10%</f>
        <v>72.900000000000006</v>
      </c>
      <c r="N29">
        <f>MAX(0,Production_Inventory_Raw_Data[[#This Row],[Forecast Demand]]-Production_Inventory_Raw_Data[[#This Row],[Closing Stock]]+Production_Inventory_Raw_Data[[#This Row],[Safety stock]])</f>
        <v>801.9</v>
      </c>
    </row>
    <row r="30" spans="1:14" x14ac:dyDescent="0.25">
      <c r="A30" s="1">
        <v>46024</v>
      </c>
      <c r="B30" s="2" t="s">
        <v>32</v>
      </c>
      <c r="C30" s="2" t="s">
        <v>33</v>
      </c>
      <c r="D30" s="2" t="s">
        <v>34</v>
      </c>
      <c r="E30" s="2" t="s">
        <v>15</v>
      </c>
      <c r="F30">
        <v>221</v>
      </c>
      <c r="G30">
        <v>183</v>
      </c>
      <c r="H30">
        <v>351</v>
      </c>
      <c r="I30">
        <v>325</v>
      </c>
      <c r="J30">
        <v>493</v>
      </c>
      <c r="K30" t="s">
        <v>16</v>
      </c>
      <c r="L30" s="2" t="s">
        <v>22</v>
      </c>
      <c r="M30">
        <f xml:space="preserve"> Production_Inventory_Raw_Data[[#This Row],[Forecast Demand]]*10%</f>
        <v>22.1</v>
      </c>
      <c r="N30">
        <f>MAX(0,Production_Inventory_Raw_Data[[#This Row],[Forecast Demand]]-Production_Inventory_Raw_Data[[#This Row],[Closing Stock]]+Production_Inventory_Raw_Data[[#This Row],[Safety stock]])</f>
        <v>0</v>
      </c>
    </row>
    <row r="31" spans="1:14" x14ac:dyDescent="0.25">
      <c r="A31" s="1">
        <v>46041</v>
      </c>
      <c r="B31" s="2" t="s">
        <v>47</v>
      </c>
      <c r="C31" s="2" t="s">
        <v>48</v>
      </c>
      <c r="D31" s="2" t="s">
        <v>25</v>
      </c>
      <c r="E31" s="2" t="s">
        <v>26</v>
      </c>
      <c r="F31">
        <v>434</v>
      </c>
      <c r="G31">
        <v>320</v>
      </c>
      <c r="H31">
        <v>66</v>
      </c>
      <c r="I31">
        <v>438</v>
      </c>
      <c r="J31">
        <v>184</v>
      </c>
      <c r="K31" t="s">
        <v>21</v>
      </c>
      <c r="L31" s="2" t="s">
        <v>22</v>
      </c>
      <c r="M31">
        <f xml:space="preserve"> Production_Inventory_Raw_Data[[#This Row],[Forecast Demand]]*10%</f>
        <v>43.400000000000006</v>
      </c>
      <c r="N31">
        <f>MAX(0,Production_Inventory_Raw_Data[[#This Row],[Forecast Demand]]-Production_Inventory_Raw_Data[[#This Row],[Closing Stock]]+Production_Inventory_Raw_Data[[#This Row],[Safety stock]])</f>
        <v>293.39999999999998</v>
      </c>
    </row>
    <row r="32" spans="1:14" x14ac:dyDescent="0.25">
      <c r="A32" s="1">
        <v>46056</v>
      </c>
      <c r="B32" s="2" t="s">
        <v>42</v>
      </c>
      <c r="C32" s="2" t="s">
        <v>43</v>
      </c>
      <c r="D32" s="2" t="s">
        <v>34</v>
      </c>
      <c r="E32" s="2" t="s">
        <v>46</v>
      </c>
      <c r="F32">
        <v>885</v>
      </c>
      <c r="G32">
        <v>867</v>
      </c>
      <c r="H32">
        <v>159</v>
      </c>
      <c r="I32">
        <v>652</v>
      </c>
      <c r="J32">
        <v>0</v>
      </c>
      <c r="K32" t="s">
        <v>27</v>
      </c>
      <c r="L32" s="2" t="s">
        <v>17</v>
      </c>
      <c r="M32">
        <f xml:space="preserve"> Production_Inventory_Raw_Data[[#This Row],[Forecast Demand]]*10%</f>
        <v>88.5</v>
      </c>
      <c r="N32">
        <f>MAX(0,Production_Inventory_Raw_Data[[#This Row],[Forecast Demand]]-Production_Inventory_Raw_Data[[#This Row],[Closing Stock]]+Production_Inventory_Raw_Data[[#This Row],[Safety stock]])</f>
        <v>973.5</v>
      </c>
    </row>
    <row r="33" spans="1:14" x14ac:dyDescent="0.25">
      <c r="A33" s="1">
        <v>46047</v>
      </c>
      <c r="B33" s="2" t="s">
        <v>23</v>
      </c>
      <c r="C33" s="2" t="s">
        <v>24</v>
      </c>
      <c r="D33" s="2" t="s">
        <v>25</v>
      </c>
      <c r="E33" s="2" t="s">
        <v>15</v>
      </c>
      <c r="F33">
        <v>684</v>
      </c>
      <c r="G33">
        <v>684</v>
      </c>
      <c r="H33">
        <v>258</v>
      </c>
      <c r="I33">
        <v>294</v>
      </c>
      <c r="J33">
        <v>0</v>
      </c>
      <c r="K33" t="s">
        <v>27</v>
      </c>
      <c r="L33" s="2" t="s">
        <v>22</v>
      </c>
      <c r="M33">
        <f xml:space="preserve"> Production_Inventory_Raw_Data[[#This Row],[Forecast Demand]]*10%</f>
        <v>68.400000000000006</v>
      </c>
      <c r="N33">
        <f>MAX(0,Production_Inventory_Raw_Data[[#This Row],[Forecast Demand]]-Production_Inventory_Raw_Data[[#This Row],[Closing Stock]]+Production_Inventory_Raw_Data[[#This Row],[Safety stock]])</f>
        <v>752.4</v>
      </c>
    </row>
    <row r="34" spans="1:14" x14ac:dyDescent="0.25">
      <c r="A34" s="1">
        <v>46036</v>
      </c>
      <c r="B34" s="2" t="s">
        <v>39</v>
      </c>
      <c r="C34" s="2" t="s">
        <v>40</v>
      </c>
      <c r="D34" s="2" t="s">
        <v>25</v>
      </c>
      <c r="E34" s="2" t="s">
        <v>15</v>
      </c>
      <c r="F34">
        <v>562</v>
      </c>
      <c r="G34">
        <v>501</v>
      </c>
      <c r="H34">
        <v>260</v>
      </c>
      <c r="I34">
        <v>578</v>
      </c>
      <c r="J34">
        <v>337</v>
      </c>
      <c r="K34" t="s">
        <v>16</v>
      </c>
      <c r="L34" s="2" t="s">
        <v>22</v>
      </c>
      <c r="M34">
        <f xml:space="preserve"> Production_Inventory_Raw_Data[[#This Row],[Forecast Demand]]*10%</f>
        <v>56.2</v>
      </c>
      <c r="N34">
        <f>MAX(0,Production_Inventory_Raw_Data[[#This Row],[Forecast Demand]]-Production_Inventory_Raw_Data[[#This Row],[Closing Stock]]+Production_Inventory_Raw_Data[[#This Row],[Safety stock]])</f>
        <v>281.2</v>
      </c>
    </row>
    <row r="35" spans="1:14" x14ac:dyDescent="0.25">
      <c r="A35" s="1">
        <v>46086</v>
      </c>
      <c r="B35" s="2" t="s">
        <v>47</v>
      </c>
      <c r="C35" s="2" t="s">
        <v>48</v>
      </c>
      <c r="D35" s="2" t="s">
        <v>25</v>
      </c>
      <c r="E35" s="2" t="s">
        <v>26</v>
      </c>
      <c r="F35">
        <v>612</v>
      </c>
      <c r="G35">
        <v>514</v>
      </c>
      <c r="H35">
        <v>459</v>
      </c>
      <c r="I35">
        <v>211</v>
      </c>
      <c r="J35">
        <v>156</v>
      </c>
      <c r="K35" t="s">
        <v>21</v>
      </c>
      <c r="L35" s="2" t="s">
        <v>29</v>
      </c>
      <c r="M35">
        <f xml:space="preserve"> Production_Inventory_Raw_Data[[#This Row],[Forecast Demand]]*10%</f>
        <v>61.2</v>
      </c>
      <c r="N35">
        <f>MAX(0,Production_Inventory_Raw_Data[[#This Row],[Forecast Demand]]-Production_Inventory_Raw_Data[[#This Row],[Closing Stock]]+Production_Inventory_Raw_Data[[#This Row],[Safety stock]])</f>
        <v>517.20000000000005</v>
      </c>
    </row>
    <row r="36" spans="1:14" x14ac:dyDescent="0.25">
      <c r="A36" s="1">
        <v>46069</v>
      </c>
      <c r="B36" s="2" t="s">
        <v>23</v>
      </c>
      <c r="C36" s="2" t="s">
        <v>24</v>
      </c>
      <c r="D36" s="2" t="s">
        <v>25</v>
      </c>
      <c r="E36" s="2" t="s">
        <v>35</v>
      </c>
      <c r="F36">
        <v>749</v>
      </c>
      <c r="G36">
        <v>638</v>
      </c>
      <c r="H36">
        <v>121</v>
      </c>
      <c r="I36">
        <v>532</v>
      </c>
      <c r="J36">
        <v>15</v>
      </c>
      <c r="K36" t="s">
        <v>27</v>
      </c>
      <c r="L36" s="2" t="s">
        <v>17</v>
      </c>
      <c r="M36">
        <f xml:space="preserve"> Production_Inventory_Raw_Data[[#This Row],[Forecast Demand]]*10%</f>
        <v>74.900000000000006</v>
      </c>
      <c r="N36">
        <f>MAX(0,Production_Inventory_Raw_Data[[#This Row],[Forecast Demand]]-Production_Inventory_Raw_Data[[#This Row],[Closing Stock]]+Production_Inventory_Raw_Data[[#This Row],[Safety stock]])</f>
        <v>808.9</v>
      </c>
    </row>
    <row r="37" spans="1:14" x14ac:dyDescent="0.25">
      <c r="A37" s="1">
        <v>46048</v>
      </c>
      <c r="B37" s="2" t="s">
        <v>44</v>
      </c>
      <c r="C37" s="2" t="s">
        <v>45</v>
      </c>
      <c r="D37" s="2" t="s">
        <v>14</v>
      </c>
      <c r="E37" s="2" t="s">
        <v>15</v>
      </c>
      <c r="F37">
        <v>455</v>
      </c>
      <c r="G37">
        <v>337</v>
      </c>
      <c r="H37">
        <v>276</v>
      </c>
      <c r="I37">
        <v>663</v>
      </c>
      <c r="J37">
        <v>602</v>
      </c>
      <c r="K37" t="s">
        <v>16</v>
      </c>
      <c r="L37" s="2" t="s">
        <v>22</v>
      </c>
      <c r="M37">
        <f xml:space="preserve"> Production_Inventory_Raw_Data[[#This Row],[Forecast Demand]]*10%</f>
        <v>45.5</v>
      </c>
      <c r="N37">
        <f>MAX(0,Production_Inventory_Raw_Data[[#This Row],[Forecast Demand]]-Production_Inventory_Raw_Data[[#This Row],[Closing Stock]]+Production_Inventory_Raw_Data[[#This Row],[Safety stock]])</f>
        <v>0</v>
      </c>
    </row>
    <row r="38" spans="1:14" x14ac:dyDescent="0.25">
      <c r="A38" s="1">
        <v>46065</v>
      </c>
      <c r="B38" s="2" t="s">
        <v>18</v>
      </c>
      <c r="C38" s="2" t="s">
        <v>19</v>
      </c>
      <c r="D38" s="2" t="s">
        <v>20</v>
      </c>
      <c r="E38" s="2" t="s">
        <v>46</v>
      </c>
      <c r="F38">
        <v>215</v>
      </c>
      <c r="G38">
        <v>161</v>
      </c>
      <c r="H38">
        <v>435</v>
      </c>
      <c r="I38">
        <v>342</v>
      </c>
      <c r="J38">
        <v>616</v>
      </c>
      <c r="K38" t="s">
        <v>16</v>
      </c>
      <c r="L38" s="2" t="s">
        <v>17</v>
      </c>
      <c r="M38">
        <f xml:space="preserve"> Production_Inventory_Raw_Data[[#This Row],[Forecast Demand]]*10%</f>
        <v>21.5</v>
      </c>
      <c r="N38">
        <f>MAX(0,Production_Inventory_Raw_Data[[#This Row],[Forecast Demand]]-Production_Inventory_Raw_Data[[#This Row],[Closing Stock]]+Production_Inventory_Raw_Data[[#This Row],[Safety stock]])</f>
        <v>0</v>
      </c>
    </row>
    <row r="39" spans="1:14" x14ac:dyDescent="0.25">
      <c r="A39" s="1">
        <v>46038</v>
      </c>
      <c r="B39" s="2" t="s">
        <v>44</v>
      </c>
      <c r="C39" s="2" t="s">
        <v>45</v>
      </c>
      <c r="D39" s="2" t="s">
        <v>14</v>
      </c>
      <c r="E39" s="2" t="s">
        <v>26</v>
      </c>
      <c r="F39">
        <v>692</v>
      </c>
      <c r="G39">
        <v>538</v>
      </c>
      <c r="H39">
        <v>492</v>
      </c>
      <c r="I39">
        <v>510</v>
      </c>
      <c r="J39">
        <v>464</v>
      </c>
      <c r="K39" t="s">
        <v>16</v>
      </c>
      <c r="L39" s="2" t="s">
        <v>22</v>
      </c>
      <c r="M39">
        <f xml:space="preserve"> Production_Inventory_Raw_Data[[#This Row],[Forecast Demand]]*10%</f>
        <v>69.2</v>
      </c>
      <c r="N39">
        <f>MAX(0,Production_Inventory_Raw_Data[[#This Row],[Forecast Demand]]-Production_Inventory_Raw_Data[[#This Row],[Closing Stock]]+Production_Inventory_Raw_Data[[#This Row],[Safety stock]])</f>
        <v>297.2</v>
      </c>
    </row>
    <row r="40" spans="1:14" x14ac:dyDescent="0.25">
      <c r="A40" s="1">
        <v>46096</v>
      </c>
      <c r="B40" s="2" t="s">
        <v>39</v>
      </c>
      <c r="C40" s="2" t="s">
        <v>40</v>
      </c>
      <c r="D40" s="2" t="s">
        <v>25</v>
      </c>
      <c r="E40" s="2" t="s">
        <v>46</v>
      </c>
      <c r="F40">
        <v>202</v>
      </c>
      <c r="G40">
        <v>165</v>
      </c>
      <c r="H40">
        <v>185</v>
      </c>
      <c r="I40">
        <v>565</v>
      </c>
      <c r="J40">
        <v>585</v>
      </c>
      <c r="K40" t="s">
        <v>16</v>
      </c>
      <c r="L40" s="2" t="s">
        <v>29</v>
      </c>
      <c r="M40">
        <f xml:space="preserve"> Production_Inventory_Raw_Data[[#This Row],[Forecast Demand]]*10%</f>
        <v>20.200000000000003</v>
      </c>
      <c r="N40">
        <f>MAX(0,Production_Inventory_Raw_Data[[#This Row],[Forecast Demand]]-Production_Inventory_Raw_Data[[#This Row],[Closing Stock]]+Production_Inventory_Raw_Data[[#This Row],[Safety stock]])</f>
        <v>0</v>
      </c>
    </row>
    <row r="41" spans="1:14" x14ac:dyDescent="0.25">
      <c r="A41" s="1">
        <v>46098</v>
      </c>
      <c r="B41" s="2" t="s">
        <v>18</v>
      </c>
      <c r="C41" s="2" t="s">
        <v>19</v>
      </c>
      <c r="D41" s="2" t="s">
        <v>20</v>
      </c>
      <c r="E41" s="2" t="s">
        <v>26</v>
      </c>
      <c r="F41">
        <v>877</v>
      </c>
      <c r="G41">
        <v>862</v>
      </c>
      <c r="H41">
        <v>129</v>
      </c>
      <c r="I41">
        <v>294</v>
      </c>
      <c r="J41">
        <v>0</v>
      </c>
      <c r="K41" t="s">
        <v>27</v>
      </c>
      <c r="L41" s="2" t="s">
        <v>29</v>
      </c>
      <c r="M41">
        <f xml:space="preserve"> Production_Inventory_Raw_Data[[#This Row],[Forecast Demand]]*10%</f>
        <v>87.7</v>
      </c>
      <c r="N41">
        <f>MAX(0,Production_Inventory_Raw_Data[[#This Row],[Forecast Demand]]-Production_Inventory_Raw_Data[[#This Row],[Closing Stock]]+Production_Inventory_Raw_Data[[#This Row],[Safety stock]])</f>
        <v>964.7</v>
      </c>
    </row>
    <row r="42" spans="1:14" x14ac:dyDescent="0.25">
      <c r="A42" s="1">
        <v>46063</v>
      </c>
      <c r="B42" s="2" t="s">
        <v>47</v>
      </c>
      <c r="C42" s="2" t="s">
        <v>48</v>
      </c>
      <c r="D42" s="2" t="s">
        <v>25</v>
      </c>
      <c r="E42" s="2" t="s">
        <v>15</v>
      </c>
      <c r="F42">
        <v>798</v>
      </c>
      <c r="G42">
        <v>680</v>
      </c>
      <c r="H42">
        <v>307</v>
      </c>
      <c r="I42">
        <v>643</v>
      </c>
      <c r="J42">
        <v>270</v>
      </c>
      <c r="K42" t="s">
        <v>21</v>
      </c>
      <c r="L42" s="2" t="s">
        <v>17</v>
      </c>
      <c r="M42">
        <f xml:space="preserve"> Production_Inventory_Raw_Data[[#This Row],[Forecast Demand]]*10%</f>
        <v>79.800000000000011</v>
      </c>
      <c r="N42">
        <f>MAX(0,Production_Inventory_Raw_Data[[#This Row],[Forecast Demand]]-Production_Inventory_Raw_Data[[#This Row],[Closing Stock]]+Production_Inventory_Raw_Data[[#This Row],[Safety stock]])</f>
        <v>607.79999999999995</v>
      </c>
    </row>
    <row r="43" spans="1:14" x14ac:dyDescent="0.25">
      <c r="A43" s="1">
        <v>46040</v>
      </c>
      <c r="B43" s="2" t="s">
        <v>18</v>
      </c>
      <c r="C43" s="2" t="s">
        <v>19</v>
      </c>
      <c r="D43" s="2" t="s">
        <v>20</v>
      </c>
      <c r="E43" s="2" t="s">
        <v>26</v>
      </c>
      <c r="F43">
        <v>282</v>
      </c>
      <c r="G43">
        <v>220</v>
      </c>
      <c r="H43">
        <v>85</v>
      </c>
      <c r="I43">
        <v>709</v>
      </c>
      <c r="J43">
        <v>574</v>
      </c>
      <c r="K43" t="s">
        <v>16</v>
      </c>
      <c r="L43" s="2" t="s">
        <v>22</v>
      </c>
      <c r="M43">
        <f xml:space="preserve"> Production_Inventory_Raw_Data[[#This Row],[Forecast Demand]]*10%</f>
        <v>28.200000000000003</v>
      </c>
      <c r="N43">
        <f>MAX(0,Production_Inventory_Raw_Data[[#This Row],[Forecast Demand]]-Production_Inventory_Raw_Data[[#This Row],[Closing Stock]]+Production_Inventory_Raw_Data[[#This Row],[Safety stock]])</f>
        <v>0</v>
      </c>
    </row>
    <row r="44" spans="1:14" x14ac:dyDescent="0.25">
      <c r="A44" s="1">
        <v>46167</v>
      </c>
      <c r="B44" s="2" t="s">
        <v>37</v>
      </c>
      <c r="C44" s="2" t="s">
        <v>38</v>
      </c>
      <c r="D44" s="2" t="s">
        <v>25</v>
      </c>
      <c r="E44" s="2" t="s">
        <v>35</v>
      </c>
      <c r="F44">
        <v>283</v>
      </c>
      <c r="G44">
        <v>251</v>
      </c>
      <c r="H44">
        <v>386</v>
      </c>
      <c r="I44">
        <v>697</v>
      </c>
      <c r="J44">
        <v>832</v>
      </c>
      <c r="K44" t="s">
        <v>16</v>
      </c>
      <c r="L44" s="2" t="s">
        <v>28</v>
      </c>
      <c r="M44">
        <f xml:space="preserve"> Production_Inventory_Raw_Data[[#This Row],[Forecast Demand]]*10%</f>
        <v>28.3</v>
      </c>
      <c r="N44">
        <f>MAX(0,Production_Inventory_Raw_Data[[#This Row],[Forecast Demand]]-Production_Inventory_Raw_Data[[#This Row],[Closing Stock]]+Production_Inventory_Raw_Data[[#This Row],[Safety stock]])</f>
        <v>0</v>
      </c>
    </row>
    <row r="45" spans="1:14" x14ac:dyDescent="0.25">
      <c r="A45" s="1">
        <v>46084</v>
      </c>
      <c r="B45" s="2" t="s">
        <v>42</v>
      </c>
      <c r="C45" s="2" t="s">
        <v>43</v>
      </c>
      <c r="D45" s="2" t="s">
        <v>34</v>
      </c>
      <c r="E45" s="2" t="s">
        <v>35</v>
      </c>
      <c r="F45">
        <v>409</v>
      </c>
      <c r="G45">
        <v>371</v>
      </c>
      <c r="H45">
        <v>416</v>
      </c>
      <c r="I45">
        <v>421</v>
      </c>
      <c r="J45">
        <v>466</v>
      </c>
      <c r="K45" t="s">
        <v>16</v>
      </c>
      <c r="L45" s="2" t="s">
        <v>29</v>
      </c>
      <c r="M45">
        <f xml:space="preserve"> Production_Inventory_Raw_Data[[#This Row],[Forecast Demand]]*10%</f>
        <v>40.900000000000006</v>
      </c>
      <c r="N45">
        <f>MAX(0,Production_Inventory_Raw_Data[[#This Row],[Forecast Demand]]-Production_Inventory_Raw_Data[[#This Row],[Closing Stock]]+Production_Inventory_Raw_Data[[#This Row],[Safety stock]])</f>
        <v>0</v>
      </c>
    </row>
    <row r="46" spans="1:14" x14ac:dyDescent="0.25">
      <c r="A46" s="1">
        <v>46140</v>
      </c>
      <c r="B46" s="2" t="s">
        <v>39</v>
      </c>
      <c r="C46" s="2" t="s">
        <v>40</v>
      </c>
      <c r="D46" s="2" t="s">
        <v>25</v>
      </c>
      <c r="E46" s="2" t="s">
        <v>35</v>
      </c>
      <c r="F46">
        <v>334</v>
      </c>
      <c r="G46">
        <v>318</v>
      </c>
      <c r="H46">
        <v>380</v>
      </c>
      <c r="I46">
        <v>407</v>
      </c>
      <c r="J46">
        <v>469</v>
      </c>
      <c r="K46" t="s">
        <v>16</v>
      </c>
      <c r="L46" s="2" t="s">
        <v>36</v>
      </c>
      <c r="M46">
        <f xml:space="preserve"> Production_Inventory_Raw_Data[[#This Row],[Forecast Demand]]*10%</f>
        <v>33.4</v>
      </c>
      <c r="N46">
        <f>MAX(0,Production_Inventory_Raw_Data[[#This Row],[Forecast Demand]]-Production_Inventory_Raw_Data[[#This Row],[Closing Stock]]+Production_Inventory_Raw_Data[[#This Row],[Safety stock]])</f>
        <v>0</v>
      </c>
    </row>
    <row r="47" spans="1:14" x14ac:dyDescent="0.25">
      <c r="A47" s="1">
        <v>46112</v>
      </c>
      <c r="B47" s="2" t="s">
        <v>18</v>
      </c>
      <c r="C47" s="2" t="s">
        <v>19</v>
      </c>
      <c r="D47" s="2" t="s">
        <v>20</v>
      </c>
      <c r="E47" s="2" t="s">
        <v>15</v>
      </c>
      <c r="F47">
        <v>418</v>
      </c>
      <c r="G47">
        <v>356</v>
      </c>
      <c r="H47">
        <v>185</v>
      </c>
      <c r="I47">
        <v>235</v>
      </c>
      <c r="J47">
        <v>64</v>
      </c>
      <c r="K47" t="s">
        <v>27</v>
      </c>
      <c r="L47" s="2" t="s">
        <v>29</v>
      </c>
      <c r="M47">
        <f xml:space="preserve"> Production_Inventory_Raw_Data[[#This Row],[Forecast Demand]]*10%</f>
        <v>41.800000000000004</v>
      </c>
      <c r="N47">
        <f>MAX(0,Production_Inventory_Raw_Data[[#This Row],[Forecast Demand]]-Production_Inventory_Raw_Data[[#This Row],[Closing Stock]]+Production_Inventory_Raw_Data[[#This Row],[Safety stock]])</f>
        <v>395.8</v>
      </c>
    </row>
    <row r="48" spans="1:14" x14ac:dyDescent="0.25">
      <c r="A48" s="1">
        <v>46162</v>
      </c>
      <c r="B48" s="2" t="s">
        <v>23</v>
      </c>
      <c r="C48" s="2" t="s">
        <v>24</v>
      </c>
      <c r="D48" s="2" t="s">
        <v>25</v>
      </c>
      <c r="E48" s="2" t="s">
        <v>35</v>
      </c>
      <c r="F48">
        <v>578</v>
      </c>
      <c r="G48">
        <v>476</v>
      </c>
      <c r="H48">
        <v>130</v>
      </c>
      <c r="I48">
        <v>548</v>
      </c>
      <c r="J48">
        <v>202</v>
      </c>
      <c r="K48" t="s">
        <v>21</v>
      </c>
      <c r="L48" s="2" t="s">
        <v>28</v>
      </c>
      <c r="M48">
        <f xml:space="preserve"> Production_Inventory_Raw_Data[[#This Row],[Forecast Demand]]*10%</f>
        <v>57.800000000000004</v>
      </c>
      <c r="N48">
        <f>MAX(0,Production_Inventory_Raw_Data[[#This Row],[Forecast Demand]]-Production_Inventory_Raw_Data[[#This Row],[Closing Stock]]+Production_Inventory_Raw_Data[[#This Row],[Safety stock]])</f>
        <v>433.8</v>
      </c>
    </row>
    <row r="49" spans="1:14" x14ac:dyDescent="0.25">
      <c r="A49" s="1">
        <v>46099</v>
      </c>
      <c r="B49" s="2" t="s">
        <v>37</v>
      </c>
      <c r="C49" s="2" t="s">
        <v>38</v>
      </c>
      <c r="D49" s="2" t="s">
        <v>25</v>
      </c>
      <c r="E49" s="2" t="s">
        <v>15</v>
      </c>
      <c r="F49">
        <v>869</v>
      </c>
      <c r="G49">
        <v>612</v>
      </c>
      <c r="H49">
        <v>391</v>
      </c>
      <c r="I49">
        <v>667</v>
      </c>
      <c r="J49">
        <v>446</v>
      </c>
      <c r="K49" t="s">
        <v>16</v>
      </c>
      <c r="L49" s="2" t="s">
        <v>29</v>
      </c>
      <c r="M49">
        <f xml:space="preserve"> Production_Inventory_Raw_Data[[#This Row],[Forecast Demand]]*10%</f>
        <v>86.9</v>
      </c>
      <c r="N49">
        <f>MAX(0,Production_Inventory_Raw_Data[[#This Row],[Forecast Demand]]-Production_Inventory_Raw_Data[[#This Row],[Closing Stock]]+Production_Inventory_Raw_Data[[#This Row],[Safety stock]])</f>
        <v>509.9</v>
      </c>
    </row>
    <row r="50" spans="1:14" x14ac:dyDescent="0.25">
      <c r="A50" s="1">
        <v>46164</v>
      </c>
      <c r="B50" s="2" t="s">
        <v>30</v>
      </c>
      <c r="C50" s="2" t="s">
        <v>31</v>
      </c>
      <c r="D50" s="2" t="s">
        <v>14</v>
      </c>
      <c r="E50" s="2" t="s">
        <v>26</v>
      </c>
      <c r="F50">
        <v>470</v>
      </c>
      <c r="G50">
        <v>358</v>
      </c>
      <c r="H50">
        <v>104</v>
      </c>
      <c r="I50">
        <v>860</v>
      </c>
      <c r="J50">
        <v>606</v>
      </c>
      <c r="K50" t="s">
        <v>16</v>
      </c>
      <c r="L50" s="2" t="s">
        <v>28</v>
      </c>
      <c r="M50">
        <f xml:space="preserve"> Production_Inventory_Raw_Data[[#This Row],[Forecast Demand]]*10%</f>
        <v>47</v>
      </c>
      <c r="N50">
        <f>MAX(0,Production_Inventory_Raw_Data[[#This Row],[Forecast Demand]]-Production_Inventory_Raw_Data[[#This Row],[Closing Stock]]+Production_Inventory_Raw_Data[[#This Row],[Safety stock]])</f>
        <v>0</v>
      </c>
    </row>
    <row r="51" spans="1:14" x14ac:dyDescent="0.25">
      <c r="A51" s="1">
        <v>46075</v>
      </c>
      <c r="B51" s="2" t="s">
        <v>42</v>
      </c>
      <c r="C51" s="2" t="s">
        <v>43</v>
      </c>
      <c r="D51" s="2" t="s">
        <v>34</v>
      </c>
      <c r="E51" s="2" t="s">
        <v>35</v>
      </c>
      <c r="F51">
        <v>488</v>
      </c>
      <c r="G51">
        <v>394</v>
      </c>
      <c r="H51">
        <v>417</v>
      </c>
      <c r="I51">
        <v>451</v>
      </c>
      <c r="J51">
        <v>474</v>
      </c>
      <c r="K51" t="s">
        <v>16</v>
      </c>
      <c r="L51" s="2" t="s">
        <v>17</v>
      </c>
      <c r="M51">
        <f xml:space="preserve"> Production_Inventory_Raw_Data[[#This Row],[Forecast Demand]]*10%</f>
        <v>48.800000000000004</v>
      </c>
      <c r="N51">
        <f>MAX(0,Production_Inventory_Raw_Data[[#This Row],[Forecast Demand]]-Production_Inventory_Raw_Data[[#This Row],[Closing Stock]]+Production_Inventory_Raw_Data[[#This Row],[Safety stock]])</f>
        <v>62.800000000000004</v>
      </c>
    </row>
    <row r="52" spans="1:14" x14ac:dyDescent="0.25">
      <c r="A52" s="1">
        <v>46046</v>
      </c>
      <c r="B52" s="2" t="s">
        <v>18</v>
      </c>
      <c r="C52" s="2" t="s">
        <v>19</v>
      </c>
      <c r="D52" s="2" t="s">
        <v>20</v>
      </c>
      <c r="E52" s="2" t="s">
        <v>46</v>
      </c>
      <c r="F52">
        <v>700</v>
      </c>
      <c r="G52">
        <v>553</v>
      </c>
      <c r="H52">
        <v>483</v>
      </c>
      <c r="I52">
        <v>152</v>
      </c>
      <c r="J52">
        <v>82</v>
      </c>
      <c r="K52" t="s">
        <v>27</v>
      </c>
      <c r="L52" s="2" t="s">
        <v>22</v>
      </c>
      <c r="M52">
        <f xml:space="preserve"> Production_Inventory_Raw_Data[[#This Row],[Forecast Demand]]*10%</f>
        <v>70</v>
      </c>
      <c r="N52">
        <f>MAX(0,Production_Inventory_Raw_Data[[#This Row],[Forecast Demand]]-Production_Inventory_Raw_Data[[#This Row],[Closing Stock]]+Production_Inventory_Raw_Data[[#This Row],[Safety stock]])</f>
        <v>688</v>
      </c>
    </row>
    <row r="53" spans="1:14" x14ac:dyDescent="0.25">
      <c r="A53" s="1">
        <v>46132</v>
      </c>
      <c r="B53" s="2" t="s">
        <v>30</v>
      </c>
      <c r="C53" s="2" t="s">
        <v>31</v>
      </c>
      <c r="D53" s="2" t="s">
        <v>14</v>
      </c>
      <c r="E53" s="2" t="s">
        <v>15</v>
      </c>
      <c r="F53">
        <v>959</v>
      </c>
      <c r="G53">
        <v>897</v>
      </c>
      <c r="H53">
        <v>332</v>
      </c>
      <c r="I53">
        <v>822</v>
      </c>
      <c r="J53">
        <v>257</v>
      </c>
      <c r="K53" t="s">
        <v>21</v>
      </c>
      <c r="L53" s="2" t="s">
        <v>36</v>
      </c>
      <c r="M53">
        <f xml:space="preserve"> Production_Inventory_Raw_Data[[#This Row],[Forecast Demand]]*10%</f>
        <v>95.9</v>
      </c>
      <c r="N53">
        <f>MAX(0,Production_Inventory_Raw_Data[[#This Row],[Forecast Demand]]-Production_Inventory_Raw_Data[[#This Row],[Closing Stock]]+Production_Inventory_Raw_Data[[#This Row],[Safety stock]])</f>
        <v>797.9</v>
      </c>
    </row>
    <row r="54" spans="1:14" x14ac:dyDescent="0.25">
      <c r="A54" s="1">
        <v>46117</v>
      </c>
      <c r="B54" s="2" t="s">
        <v>12</v>
      </c>
      <c r="C54" s="2" t="s">
        <v>13</v>
      </c>
      <c r="D54" s="2" t="s">
        <v>14</v>
      </c>
      <c r="E54" s="2" t="s">
        <v>26</v>
      </c>
      <c r="F54">
        <v>277</v>
      </c>
      <c r="G54">
        <v>212</v>
      </c>
      <c r="H54">
        <v>329</v>
      </c>
      <c r="I54">
        <v>136</v>
      </c>
      <c r="J54">
        <v>253</v>
      </c>
      <c r="K54" t="s">
        <v>21</v>
      </c>
      <c r="L54" s="2" t="s">
        <v>36</v>
      </c>
      <c r="M54">
        <f xml:space="preserve"> Production_Inventory_Raw_Data[[#This Row],[Forecast Demand]]*10%</f>
        <v>27.700000000000003</v>
      </c>
      <c r="N54">
        <f>MAX(0,Production_Inventory_Raw_Data[[#This Row],[Forecast Demand]]-Production_Inventory_Raw_Data[[#This Row],[Closing Stock]]+Production_Inventory_Raw_Data[[#This Row],[Safety stock]])</f>
        <v>51.7</v>
      </c>
    </row>
    <row r="55" spans="1:14" x14ac:dyDescent="0.25">
      <c r="A55" s="1">
        <v>46033</v>
      </c>
      <c r="B55" s="2" t="s">
        <v>39</v>
      </c>
      <c r="C55" s="2" t="s">
        <v>40</v>
      </c>
      <c r="D55" s="2" t="s">
        <v>25</v>
      </c>
      <c r="E55" s="2" t="s">
        <v>35</v>
      </c>
      <c r="F55">
        <v>330</v>
      </c>
      <c r="G55">
        <v>235</v>
      </c>
      <c r="H55">
        <v>207</v>
      </c>
      <c r="I55">
        <v>473</v>
      </c>
      <c r="J55">
        <v>445</v>
      </c>
      <c r="K55" t="s">
        <v>16</v>
      </c>
      <c r="L55" s="2" t="s">
        <v>22</v>
      </c>
      <c r="M55">
        <f xml:space="preserve"> Production_Inventory_Raw_Data[[#This Row],[Forecast Demand]]*10%</f>
        <v>33</v>
      </c>
      <c r="N55">
        <f>MAX(0,Production_Inventory_Raw_Data[[#This Row],[Forecast Demand]]-Production_Inventory_Raw_Data[[#This Row],[Closing Stock]]+Production_Inventory_Raw_Data[[#This Row],[Safety stock]])</f>
        <v>0</v>
      </c>
    </row>
    <row r="56" spans="1:14" x14ac:dyDescent="0.25">
      <c r="A56" s="1">
        <v>46068</v>
      </c>
      <c r="B56" s="2" t="s">
        <v>37</v>
      </c>
      <c r="C56" s="2" t="s">
        <v>38</v>
      </c>
      <c r="D56" s="2" t="s">
        <v>25</v>
      </c>
      <c r="E56" s="2" t="s">
        <v>46</v>
      </c>
      <c r="F56">
        <v>967</v>
      </c>
      <c r="G56">
        <v>755</v>
      </c>
      <c r="H56">
        <v>171</v>
      </c>
      <c r="I56">
        <v>266</v>
      </c>
      <c r="J56">
        <v>0</v>
      </c>
      <c r="K56" t="s">
        <v>27</v>
      </c>
      <c r="L56" s="2" t="s">
        <v>17</v>
      </c>
      <c r="M56">
        <f xml:space="preserve"> Production_Inventory_Raw_Data[[#This Row],[Forecast Demand]]*10%</f>
        <v>96.7</v>
      </c>
      <c r="N56">
        <f>MAX(0,Production_Inventory_Raw_Data[[#This Row],[Forecast Demand]]-Production_Inventory_Raw_Data[[#This Row],[Closing Stock]]+Production_Inventory_Raw_Data[[#This Row],[Safety stock]])</f>
        <v>1063.7</v>
      </c>
    </row>
    <row r="57" spans="1:14" x14ac:dyDescent="0.25">
      <c r="A57" s="1">
        <v>46194</v>
      </c>
      <c r="B57" s="2" t="s">
        <v>47</v>
      </c>
      <c r="C57" s="2" t="s">
        <v>48</v>
      </c>
      <c r="D57" s="2" t="s">
        <v>25</v>
      </c>
      <c r="E57" s="2" t="s">
        <v>26</v>
      </c>
      <c r="F57">
        <v>383</v>
      </c>
      <c r="G57">
        <v>362</v>
      </c>
      <c r="H57">
        <v>220</v>
      </c>
      <c r="I57">
        <v>521</v>
      </c>
      <c r="J57">
        <v>379</v>
      </c>
      <c r="K57" t="s">
        <v>16</v>
      </c>
      <c r="L57" s="2" t="s">
        <v>41</v>
      </c>
      <c r="M57">
        <f xml:space="preserve"> Production_Inventory_Raw_Data[[#This Row],[Forecast Demand]]*10%</f>
        <v>38.300000000000004</v>
      </c>
      <c r="N57">
        <f>MAX(0,Production_Inventory_Raw_Data[[#This Row],[Forecast Demand]]-Production_Inventory_Raw_Data[[#This Row],[Closing Stock]]+Production_Inventory_Raw_Data[[#This Row],[Safety stock]])</f>
        <v>42.300000000000004</v>
      </c>
    </row>
    <row r="58" spans="1:14" x14ac:dyDescent="0.25">
      <c r="A58" s="1">
        <v>46071</v>
      </c>
      <c r="B58" s="2" t="s">
        <v>37</v>
      </c>
      <c r="C58" s="2" t="s">
        <v>38</v>
      </c>
      <c r="D58" s="2" t="s">
        <v>25</v>
      </c>
      <c r="E58" s="2" t="s">
        <v>35</v>
      </c>
      <c r="F58">
        <v>723</v>
      </c>
      <c r="G58">
        <v>535</v>
      </c>
      <c r="H58">
        <v>247</v>
      </c>
      <c r="I58">
        <v>690</v>
      </c>
      <c r="J58">
        <v>402</v>
      </c>
      <c r="K58" t="s">
        <v>16</v>
      </c>
      <c r="L58" s="2" t="s">
        <v>17</v>
      </c>
      <c r="M58">
        <f xml:space="preserve"> Production_Inventory_Raw_Data[[#This Row],[Forecast Demand]]*10%</f>
        <v>72.3</v>
      </c>
      <c r="N58">
        <f>MAX(0,Production_Inventory_Raw_Data[[#This Row],[Forecast Demand]]-Production_Inventory_Raw_Data[[#This Row],[Closing Stock]]+Production_Inventory_Raw_Data[[#This Row],[Safety stock]])</f>
        <v>393.3</v>
      </c>
    </row>
    <row r="59" spans="1:14" x14ac:dyDescent="0.25">
      <c r="A59" s="1">
        <v>46182</v>
      </c>
      <c r="B59" s="2" t="s">
        <v>32</v>
      </c>
      <c r="C59" s="2" t="s">
        <v>33</v>
      </c>
      <c r="D59" s="2" t="s">
        <v>34</v>
      </c>
      <c r="E59" s="2" t="s">
        <v>35</v>
      </c>
      <c r="F59">
        <v>641</v>
      </c>
      <c r="G59">
        <v>465</v>
      </c>
      <c r="H59">
        <v>390</v>
      </c>
      <c r="I59">
        <v>438</v>
      </c>
      <c r="J59">
        <v>363</v>
      </c>
      <c r="K59" t="s">
        <v>16</v>
      </c>
      <c r="L59" s="2" t="s">
        <v>41</v>
      </c>
      <c r="M59">
        <f xml:space="preserve"> Production_Inventory_Raw_Data[[#This Row],[Forecast Demand]]*10%</f>
        <v>64.100000000000009</v>
      </c>
      <c r="N59">
        <f>MAX(0,Production_Inventory_Raw_Data[[#This Row],[Forecast Demand]]-Production_Inventory_Raw_Data[[#This Row],[Closing Stock]]+Production_Inventory_Raw_Data[[#This Row],[Safety stock]])</f>
        <v>342.1</v>
      </c>
    </row>
    <row r="60" spans="1:14" x14ac:dyDescent="0.25">
      <c r="A60" s="1">
        <v>46193</v>
      </c>
      <c r="B60" s="2" t="s">
        <v>12</v>
      </c>
      <c r="C60" s="2" t="s">
        <v>13</v>
      </c>
      <c r="D60" s="2" t="s">
        <v>14</v>
      </c>
      <c r="E60" s="2" t="s">
        <v>46</v>
      </c>
      <c r="F60">
        <v>937</v>
      </c>
      <c r="G60">
        <v>808</v>
      </c>
      <c r="H60">
        <v>309</v>
      </c>
      <c r="I60">
        <v>416</v>
      </c>
      <c r="J60">
        <v>0</v>
      </c>
      <c r="K60" t="s">
        <v>27</v>
      </c>
      <c r="L60" s="2" t="s">
        <v>41</v>
      </c>
      <c r="M60">
        <f xml:space="preserve"> Production_Inventory_Raw_Data[[#This Row],[Forecast Demand]]*10%</f>
        <v>93.7</v>
      </c>
      <c r="N60">
        <f>MAX(0,Production_Inventory_Raw_Data[[#This Row],[Forecast Demand]]-Production_Inventory_Raw_Data[[#This Row],[Closing Stock]]+Production_Inventory_Raw_Data[[#This Row],[Safety stock]])</f>
        <v>1030.7</v>
      </c>
    </row>
    <row r="61" spans="1:14" x14ac:dyDescent="0.25">
      <c r="A61" s="1">
        <v>46067</v>
      </c>
      <c r="B61" s="2" t="s">
        <v>39</v>
      </c>
      <c r="C61" s="2" t="s">
        <v>40</v>
      </c>
      <c r="D61" s="2" t="s">
        <v>25</v>
      </c>
      <c r="E61" s="2" t="s">
        <v>35</v>
      </c>
      <c r="F61">
        <v>880</v>
      </c>
      <c r="G61">
        <v>810</v>
      </c>
      <c r="H61">
        <v>396</v>
      </c>
      <c r="I61">
        <v>866</v>
      </c>
      <c r="J61">
        <v>452</v>
      </c>
      <c r="K61" t="s">
        <v>16</v>
      </c>
      <c r="L61" s="2" t="s">
        <v>17</v>
      </c>
      <c r="M61">
        <f xml:space="preserve"> Production_Inventory_Raw_Data[[#This Row],[Forecast Demand]]*10%</f>
        <v>88</v>
      </c>
      <c r="N61">
        <f>MAX(0,Production_Inventory_Raw_Data[[#This Row],[Forecast Demand]]-Production_Inventory_Raw_Data[[#This Row],[Closing Stock]]+Production_Inventory_Raw_Data[[#This Row],[Safety stock]])</f>
        <v>516</v>
      </c>
    </row>
    <row r="62" spans="1:14" x14ac:dyDescent="0.25">
      <c r="A62" s="1">
        <v>46142</v>
      </c>
      <c r="B62" s="2" t="s">
        <v>39</v>
      </c>
      <c r="C62" s="2" t="s">
        <v>40</v>
      </c>
      <c r="D62" s="2" t="s">
        <v>25</v>
      </c>
      <c r="E62" s="2" t="s">
        <v>46</v>
      </c>
      <c r="F62">
        <v>793</v>
      </c>
      <c r="G62">
        <v>710</v>
      </c>
      <c r="H62">
        <v>385</v>
      </c>
      <c r="I62">
        <v>429</v>
      </c>
      <c r="J62">
        <v>104</v>
      </c>
      <c r="K62" t="s">
        <v>21</v>
      </c>
      <c r="L62" s="2" t="s">
        <v>36</v>
      </c>
      <c r="M62">
        <f xml:space="preserve"> Production_Inventory_Raw_Data[[#This Row],[Forecast Demand]]*10%</f>
        <v>79.300000000000011</v>
      </c>
      <c r="N62">
        <f>MAX(0,Production_Inventory_Raw_Data[[#This Row],[Forecast Demand]]-Production_Inventory_Raw_Data[[#This Row],[Closing Stock]]+Production_Inventory_Raw_Data[[#This Row],[Safety stock]])</f>
        <v>768.3</v>
      </c>
    </row>
    <row r="63" spans="1:14" x14ac:dyDescent="0.25">
      <c r="A63" s="1">
        <v>46108</v>
      </c>
      <c r="B63" s="2" t="s">
        <v>42</v>
      </c>
      <c r="C63" s="2" t="s">
        <v>43</v>
      </c>
      <c r="D63" s="2" t="s">
        <v>34</v>
      </c>
      <c r="E63" s="2" t="s">
        <v>15</v>
      </c>
      <c r="F63">
        <v>727</v>
      </c>
      <c r="G63">
        <v>677</v>
      </c>
      <c r="H63">
        <v>374</v>
      </c>
      <c r="I63">
        <v>734</v>
      </c>
      <c r="J63">
        <v>431</v>
      </c>
      <c r="K63" t="s">
        <v>16</v>
      </c>
      <c r="L63" s="2" t="s">
        <v>29</v>
      </c>
      <c r="M63">
        <f xml:space="preserve"> Production_Inventory_Raw_Data[[#This Row],[Forecast Demand]]*10%</f>
        <v>72.7</v>
      </c>
      <c r="N63">
        <f>MAX(0,Production_Inventory_Raw_Data[[#This Row],[Forecast Demand]]-Production_Inventory_Raw_Data[[#This Row],[Closing Stock]]+Production_Inventory_Raw_Data[[#This Row],[Safety stock]])</f>
        <v>368.7</v>
      </c>
    </row>
    <row r="64" spans="1:14" x14ac:dyDescent="0.25">
      <c r="A64" s="1">
        <v>46060</v>
      </c>
      <c r="B64" s="2" t="s">
        <v>23</v>
      </c>
      <c r="C64" s="2" t="s">
        <v>24</v>
      </c>
      <c r="D64" s="2" t="s">
        <v>25</v>
      </c>
      <c r="E64" s="2" t="s">
        <v>15</v>
      </c>
      <c r="F64">
        <v>888</v>
      </c>
      <c r="G64">
        <v>779</v>
      </c>
      <c r="H64">
        <v>165</v>
      </c>
      <c r="I64">
        <v>303</v>
      </c>
      <c r="J64">
        <v>0</v>
      </c>
      <c r="K64" t="s">
        <v>27</v>
      </c>
      <c r="L64" s="2" t="s">
        <v>17</v>
      </c>
      <c r="M64">
        <f xml:space="preserve"> Production_Inventory_Raw_Data[[#This Row],[Forecast Demand]]*10%</f>
        <v>88.800000000000011</v>
      </c>
      <c r="N64">
        <f>MAX(0,Production_Inventory_Raw_Data[[#This Row],[Forecast Demand]]-Production_Inventory_Raw_Data[[#This Row],[Closing Stock]]+Production_Inventory_Raw_Data[[#This Row],[Safety stock]])</f>
        <v>976.8</v>
      </c>
    </row>
    <row r="65" spans="1:14" x14ac:dyDescent="0.25">
      <c r="A65" s="1">
        <v>46201</v>
      </c>
      <c r="B65" s="2" t="s">
        <v>39</v>
      </c>
      <c r="C65" s="2" t="s">
        <v>40</v>
      </c>
      <c r="D65" s="2" t="s">
        <v>25</v>
      </c>
      <c r="E65" s="2" t="s">
        <v>46</v>
      </c>
      <c r="F65">
        <v>844</v>
      </c>
      <c r="G65">
        <v>737</v>
      </c>
      <c r="H65">
        <v>149</v>
      </c>
      <c r="I65">
        <v>835</v>
      </c>
      <c r="J65">
        <v>247</v>
      </c>
      <c r="K65" t="s">
        <v>21</v>
      </c>
      <c r="L65" s="2" t="s">
        <v>41</v>
      </c>
      <c r="M65">
        <f xml:space="preserve"> Production_Inventory_Raw_Data[[#This Row],[Forecast Demand]]*10%</f>
        <v>84.4</v>
      </c>
      <c r="N65">
        <f>MAX(0,Production_Inventory_Raw_Data[[#This Row],[Forecast Demand]]-Production_Inventory_Raw_Data[[#This Row],[Closing Stock]]+Production_Inventory_Raw_Data[[#This Row],[Safety stock]])</f>
        <v>681.4</v>
      </c>
    </row>
    <row r="66" spans="1:14" x14ac:dyDescent="0.25">
      <c r="A66" s="1">
        <v>46179</v>
      </c>
      <c r="B66" s="2" t="s">
        <v>44</v>
      </c>
      <c r="C66" s="2" t="s">
        <v>45</v>
      </c>
      <c r="D66" s="2" t="s">
        <v>14</v>
      </c>
      <c r="E66" s="2" t="s">
        <v>46</v>
      </c>
      <c r="F66">
        <v>883</v>
      </c>
      <c r="G66">
        <v>780</v>
      </c>
      <c r="H66">
        <v>436</v>
      </c>
      <c r="I66">
        <v>553</v>
      </c>
      <c r="J66">
        <v>209</v>
      </c>
      <c r="K66" t="s">
        <v>21</v>
      </c>
      <c r="L66" s="2" t="s">
        <v>41</v>
      </c>
      <c r="M66">
        <f xml:space="preserve"> Production_Inventory_Raw_Data[[#This Row],[Forecast Demand]]*10%</f>
        <v>88.300000000000011</v>
      </c>
      <c r="N66">
        <f>MAX(0,Production_Inventory_Raw_Data[[#This Row],[Forecast Demand]]-Production_Inventory_Raw_Data[[#This Row],[Closing Stock]]+Production_Inventory_Raw_Data[[#This Row],[Safety stock]])</f>
        <v>762.3</v>
      </c>
    </row>
    <row r="67" spans="1:14" x14ac:dyDescent="0.25">
      <c r="A67" s="1">
        <v>46138</v>
      </c>
      <c r="B67" s="2" t="s">
        <v>18</v>
      </c>
      <c r="C67" s="2" t="s">
        <v>19</v>
      </c>
      <c r="D67" s="2" t="s">
        <v>20</v>
      </c>
      <c r="E67" s="2" t="s">
        <v>35</v>
      </c>
      <c r="F67">
        <v>656</v>
      </c>
      <c r="G67">
        <v>499</v>
      </c>
      <c r="H67">
        <v>430</v>
      </c>
      <c r="I67">
        <v>586</v>
      </c>
      <c r="J67">
        <v>517</v>
      </c>
      <c r="K67" t="s">
        <v>16</v>
      </c>
      <c r="L67" s="2" t="s">
        <v>36</v>
      </c>
      <c r="M67">
        <f xml:space="preserve"> Production_Inventory_Raw_Data[[#This Row],[Forecast Demand]]*10%</f>
        <v>65.600000000000009</v>
      </c>
      <c r="N67">
        <f>MAX(0,Production_Inventory_Raw_Data[[#This Row],[Forecast Demand]]-Production_Inventory_Raw_Data[[#This Row],[Closing Stock]]+Production_Inventory_Raw_Data[[#This Row],[Safety stock]])</f>
        <v>204.60000000000002</v>
      </c>
    </row>
    <row r="68" spans="1:14" x14ac:dyDescent="0.25">
      <c r="A68" s="1">
        <v>46156</v>
      </c>
      <c r="B68" s="2" t="s">
        <v>23</v>
      </c>
      <c r="C68" s="2" t="s">
        <v>24</v>
      </c>
      <c r="D68" s="2" t="s">
        <v>25</v>
      </c>
      <c r="E68" s="2" t="s">
        <v>46</v>
      </c>
      <c r="F68">
        <v>852</v>
      </c>
      <c r="G68">
        <v>737</v>
      </c>
      <c r="H68">
        <v>442</v>
      </c>
      <c r="I68">
        <v>896</v>
      </c>
      <c r="J68">
        <v>601</v>
      </c>
      <c r="K68" t="s">
        <v>16</v>
      </c>
      <c r="L68" s="2" t="s">
        <v>28</v>
      </c>
      <c r="M68">
        <f xml:space="preserve"> Production_Inventory_Raw_Data[[#This Row],[Forecast Demand]]*10%</f>
        <v>85.2</v>
      </c>
      <c r="N68">
        <f>MAX(0,Production_Inventory_Raw_Data[[#This Row],[Forecast Demand]]-Production_Inventory_Raw_Data[[#This Row],[Closing Stock]]+Production_Inventory_Raw_Data[[#This Row],[Safety stock]])</f>
        <v>336.2</v>
      </c>
    </row>
    <row r="69" spans="1:14" x14ac:dyDescent="0.25">
      <c r="A69" s="1">
        <v>46077</v>
      </c>
      <c r="B69" s="2" t="s">
        <v>23</v>
      </c>
      <c r="C69" s="2" t="s">
        <v>24</v>
      </c>
      <c r="D69" s="2" t="s">
        <v>25</v>
      </c>
      <c r="E69" s="2" t="s">
        <v>15</v>
      </c>
      <c r="F69">
        <v>592</v>
      </c>
      <c r="G69">
        <v>591</v>
      </c>
      <c r="H69">
        <v>128</v>
      </c>
      <c r="I69">
        <v>823</v>
      </c>
      <c r="J69">
        <v>360</v>
      </c>
      <c r="K69" t="s">
        <v>16</v>
      </c>
      <c r="L69" s="2" t="s">
        <v>17</v>
      </c>
      <c r="M69">
        <f xml:space="preserve"> Production_Inventory_Raw_Data[[#This Row],[Forecast Demand]]*10%</f>
        <v>59.2</v>
      </c>
      <c r="N69">
        <f>MAX(0,Production_Inventory_Raw_Data[[#This Row],[Forecast Demand]]-Production_Inventory_Raw_Data[[#This Row],[Closing Stock]]+Production_Inventory_Raw_Data[[#This Row],[Safety stock]])</f>
        <v>291.2</v>
      </c>
    </row>
    <row r="70" spans="1:14" x14ac:dyDescent="0.25">
      <c r="A70" s="1">
        <v>46129</v>
      </c>
      <c r="B70" s="2" t="s">
        <v>39</v>
      </c>
      <c r="C70" s="2" t="s">
        <v>40</v>
      </c>
      <c r="D70" s="2" t="s">
        <v>25</v>
      </c>
      <c r="E70" s="2" t="s">
        <v>15</v>
      </c>
      <c r="F70">
        <v>617</v>
      </c>
      <c r="G70">
        <v>515</v>
      </c>
      <c r="H70">
        <v>327</v>
      </c>
      <c r="I70">
        <v>577</v>
      </c>
      <c r="J70">
        <v>389</v>
      </c>
      <c r="K70" t="s">
        <v>16</v>
      </c>
      <c r="L70" s="2" t="s">
        <v>36</v>
      </c>
      <c r="M70">
        <f xml:space="preserve"> Production_Inventory_Raw_Data[[#This Row],[Forecast Demand]]*10%</f>
        <v>61.7</v>
      </c>
      <c r="N70">
        <f>MAX(0,Production_Inventory_Raw_Data[[#This Row],[Forecast Demand]]-Production_Inventory_Raw_Data[[#This Row],[Closing Stock]]+Production_Inventory_Raw_Data[[#This Row],[Safety stock]])</f>
        <v>289.7</v>
      </c>
    </row>
    <row r="71" spans="1:14" x14ac:dyDescent="0.25">
      <c r="A71" s="1">
        <v>46177</v>
      </c>
      <c r="B71" s="2" t="s">
        <v>39</v>
      </c>
      <c r="C71" s="2" t="s">
        <v>40</v>
      </c>
      <c r="D71" s="2" t="s">
        <v>25</v>
      </c>
      <c r="E71" s="2" t="s">
        <v>26</v>
      </c>
      <c r="F71">
        <v>751</v>
      </c>
      <c r="G71">
        <v>716</v>
      </c>
      <c r="H71">
        <v>426</v>
      </c>
      <c r="I71">
        <v>659</v>
      </c>
      <c r="J71">
        <v>369</v>
      </c>
      <c r="K71" t="s">
        <v>16</v>
      </c>
      <c r="L71" s="2" t="s">
        <v>41</v>
      </c>
      <c r="M71">
        <f xml:space="preserve"> Production_Inventory_Raw_Data[[#This Row],[Forecast Demand]]*10%</f>
        <v>75.100000000000009</v>
      </c>
      <c r="N71">
        <f>MAX(0,Production_Inventory_Raw_Data[[#This Row],[Forecast Demand]]-Production_Inventory_Raw_Data[[#This Row],[Closing Stock]]+Production_Inventory_Raw_Data[[#This Row],[Safety stock]])</f>
        <v>457.1</v>
      </c>
    </row>
    <row r="72" spans="1:14" x14ac:dyDescent="0.25">
      <c r="A72" s="1">
        <v>46106</v>
      </c>
      <c r="B72" s="2" t="s">
        <v>42</v>
      </c>
      <c r="C72" s="2" t="s">
        <v>43</v>
      </c>
      <c r="D72" s="2" t="s">
        <v>34</v>
      </c>
      <c r="E72" s="2" t="s">
        <v>35</v>
      </c>
      <c r="F72">
        <v>588</v>
      </c>
      <c r="G72">
        <v>494</v>
      </c>
      <c r="H72">
        <v>158</v>
      </c>
      <c r="I72">
        <v>565</v>
      </c>
      <c r="J72">
        <v>229</v>
      </c>
      <c r="K72" t="s">
        <v>21</v>
      </c>
      <c r="L72" s="2" t="s">
        <v>29</v>
      </c>
      <c r="M72">
        <f xml:space="preserve"> Production_Inventory_Raw_Data[[#This Row],[Forecast Demand]]*10%</f>
        <v>58.800000000000004</v>
      </c>
      <c r="N72">
        <f>MAX(0,Production_Inventory_Raw_Data[[#This Row],[Forecast Demand]]-Production_Inventory_Raw_Data[[#This Row],[Closing Stock]]+Production_Inventory_Raw_Data[[#This Row],[Safety stock]])</f>
        <v>417.8</v>
      </c>
    </row>
    <row r="73" spans="1:14" x14ac:dyDescent="0.25">
      <c r="A73" s="1">
        <v>46143</v>
      </c>
      <c r="B73" s="2" t="s">
        <v>39</v>
      </c>
      <c r="C73" s="2" t="s">
        <v>40</v>
      </c>
      <c r="D73" s="2" t="s">
        <v>25</v>
      </c>
      <c r="E73" s="2" t="s">
        <v>15</v>
      </c>
      <c r="F73">
        <v>484</v>
      </c>
      <c r="G73">
        <v>445</v>
      </c>
      <c r="H73">
        <v>179</v>
      </c>
      <c r="I73">
        <v>183</v>
      </c>
      <c r="J73">
        <v>0</v>
      </c>
      <c r="K73" t="s">
        <v>27</v>
      </c>
      <c r="L73" s="2" t="s">
        <v>28</v>
      </c>
      <c r="M73">
        <f xml:space="preserve"> Production_Inventory_Raw_Data[[#This Row],[Forecast Demand]]*10%</f>
        <v>48.400000000000006</v>
      </c>
      <c r="N73">
        <f>MAX(0,Production_Inventory_Raw_Data[[#This Row],[Forecast Demand]]-Production_Inventory_Raw_Data[[#This Row],[Closing Stock]]+Production_Inventory_Raw_Data[[#This Row],[Safety stock]])</f>
        <v>532.4</v>
      </c>
    </row>
    <row r="74" spans="1:14" x14ac:dyDescent="0.25">
      <c r="A74" s="1">
        <v>46102</v>
      </c>
      <c r="B74" s="2" t="s">
        <v>30</v>
      </c>
      <c r="C74" s="2" t="s">
        <v>31</v>
      </c>
      <c r="D74" s="2" t="s">
        <v>14</v>
      </c>
      <c r="E74" s="2" t="s">
        <v>46</v>
      </c>
      <c r="F74">
        <v>518</v>
      </c>
      <c r="G74">
        <v>389</v>
      </c>
      <c r="H74">
        <v>346</v>
      </c>
      <c r="I74">
        <v>126</v>
      </c>
      <c r="J74">
        <v>83</v>
      </c>
      <c r="K74" t="s">
        <v>27</v>
      </c>
      <c r="L74" s="2" t="s">
        <v>29</v>
      </c>
      <c r="M74">
        <f xml:space="preserve"> Production_Inventory_Raw_Data[[#This Row],[Forecast Demand]]*10%</f>
        <v>51.800000000000004</v>
      </c>
      <c r="N74">
        <f>MAX(0,Production_Inventory_Raw_Data[[#This Row],[Forecast Demand]]-Production_Inventory_Raw_Data[[#This Row],[Closing Stock]]+Production_Inventory_Raw_Data[[#This Row],[Safety stock]])</f>
        <v>486.8</v>
      </c>
    </row>
    <row r="75" spans="1:14" x14ac:dyDescent="0.25">
      <c r="A75" s="1">
        <v>46176</v>
      </c>
      <c r="B75" s="2" t="s">
        <v>12</v>
      </c>
      <c r="C75" s="2" t="s">
        <v>13</v>
      </c>
      <c r="D75" s="2" t="s">
        <v>14</v>
      </c>
      <c r="E75" s="2" t="s">
        <v>15</v>
      </c>
      <c r="F75">
        <v>913</v>
      </c>
      <c r="G75">
        <v>793</v>
      </c>
      <c r="H75">
        <v>485</v>
      </c>
      <c r="I75">
        <v>800</v>
      </c>
      <c r="J75">
        <v>492</v>
      </c>
      <c r="K75" t="s">
        <v>16</v>
      </c>
      <c r="L75" s="2" t="s">
        <v>41</v>
      </c>
      <c r="M75">
        <f xml:space="preserve"> Production_Inventory_Raw_Data[[#This Row],[Forecast Demand]]*10%</f>
        <v>91.300000000000011</v>
      </c>
      <c r="N75">
        <f>MAX(0,Production_Inventory_Raw_Data[[#This Row],[Forecast Demand]]-Production_Inventory_Raw_Data[[#This Row],[Closing Stock]]+Production_Inventory_Raw_Data[[#This Row],[Safety stock]])</f>
        <v>512.29999999999995</v>
      </c>
    </row>
    <row r="76" spans="1:14" x14ac:dyDescent="0.25">
      <c r="A76" s="1">
        <v>46130</v>
      </c>
      <c r="B76" s="2" t="s">
        <v>12</v>
      </c>
      <c r="C76" s="2" t="s">
        <v>13</v>
      </c>
      <c r="D76" s="2" t="s">
        <v>14</v>
      </c>
      <c r="E76" s="2" t="s">
        <v>46</v>
      </c>
      <c r="F76">
        <v>718</v>
      </c>
      <c r="G76">
        <v>667</v>
      </c>
      <c r="H76">
        <v>224</v>
      </c>
      <c r="I76">
        <v>112</v>
      </c>
      <c r="J76">
        <v>0</v>
      </c>
      <c r="K76" t="s">
        <v>27</v>
      </c>
      <c r="L76" s="2" t="s">
        <v>36</v>
      </c>
      <c r="M76">
        <f xml:space="preserve"> Production_Inventory_Raw_Data[[#This Row],[Forecast Demand]]*10%</f>
        <v>71.8</v>
      </c>
      <c r="N76">
        <f>MAX(0,Production_Inventory_Raw_Data[[#This Row],[Forecast Demand]]-Production_Inventory_Raw_Data[[#This Row],[Closing Stock]]+Production_Inventory_Raw_Data[[#This Row],[Safety stock]])</f>
        <v>789.8</v>
      </c>
    </row>
    <row r="77" spans="1:14" x14ac:dyDescent="0.25">
      <c r="A77" s="1">
        <v>46180</v>
      </c>
      <c r="B77" s="2" t="s">
        <v>30</v>
      </c>
      <c r="C77" s="2" t="s">
        <v>31</v>
      </c>
      <c r="D77" s="2" t="s">
        <v>14</v>
      </c>
      <c r="E77" s="2" t="s">
        <v>46</v>
      </c>
      <c r="F77">
        <v>951</v>
      </c>
      <c r="G77">
        <v>932</v>
      </c>
      <c r="H77">
        <v>383</v>
      </c>
      <c r="I77">
        <v>376</v>
      </c>
      <c r="J77">
        <v>0</v>
      </c>
      <c r="K77" t="s">
        <v>27</v>
      </c>
      <c r="L77" s="2" t="s">
        <v>41</v>
      </c>
      <c r="M77">
        <f xml:space="preserve"> Production_Inventory_Raw_Data[[#This Row],[Forecast Demand]]*10%</f>
        <v>95.100000000000009</v>
      </c>
      <c r="N77">
        <f>MAX(0,Production_Inventory_Raw_Data[[#This Row],[Forecast Demand]]-Production_Inventory_Raw_Data[[#This Row],[Closing Stock]]+Production_Inventory_Raw_Data[[#This Row],[Safety stock]])</f>
        <v>1046.0999999999999</v>
      </c>
    </row>
    <row r="78" spans="1:14" x14ac:dyDescent="0.25">
      <c r="A78" s="1">
        <v>46105</v>
      </c>
      <c r="B78" s="2" t="s">
        <v>44</v>
      </c>
      <c r="C78" s="2" t="s">
        <v>45</v>
      </c>
      <c r="D78" s="2" t="s">
        <v>14</v>
      </c>
      <c r="E78" s="2" t="s">
        <v>26</v>
      </c>
      <c r="F78">
        <v>646</v>
      </c>
      <c r="G78">
        <v>639</v>
      </c>
      <c r="H78">
        <v>353</v>
      </c>
      <c r="I78">
        <v>374</v>
      </c>
      <c r="J78">
        <v>88</v>
      </c>
      <c r="K78" t="s">
        <v>27</v>
      </c>
      <c r="L78" s="2" t="s">
        <v>29</v>
      </c>
      <c r="M78">
        <f xml:space="preserve"> Production_Inventory_Raw_Data[[#This Row],[Forecast Demand]]*10%</f>
        <v>64.600000000000009</v>
      </c>
      <c r="N78">
        <f>MAX(0,Production_Inventory_Raw_Data[[#This Row],[Forecast Demand]]-Production_Inventory_Raw_Data[[#This Row],[Closing Stock]]+Production_Inventory_Raw_Data[[#This Row],[Safety stock]])</f>
        <v>622.6</v>
      </c>
    </row>
    <row r="79" spans="1:14" x14ac:dyDescent="0.25">
      <c r="A79" s="1">
        <v>46141</v>
      </c>
      <c r="B79" s="2" t="s">
        <v>12</v>
      </c>
      <c r="C79" s="2" t="s">
        <v>13</v>
      </c>
      <c r="D79" s="2" t="s">
        <v>14</v>
      </c>
      <c r="E79" s="2" t="s">
        <v>46</v>
      </c>
      <c r="F79">
        <v>485</v>
      </c>
      <c r="G79">
        <v>454</v>
      </c>
      <c r="H79">
        <v>174</v>
      </c>
      <c r="I79">
        <v>868</v>
      </c>
      <c r="J79">
        <v>588</v>
      </c>
      <c r="K79" t="s">
        <v>16</v>
      </c>
      <c r="L79" s="2" t="s">
        <v>36</v>
      </c>
      <c r="M79">
        <f xml:space="preserve"> Production_Inventory_Raw_Data[[#This Row],[Forecast Demand]]*10%</f>
        <v>48.5</v>
      </c>
      <c r="N79">
        <f>MAX(0,Production_Inventory_Raw_Data[[#This Row],[Forecast Demand]]-Production_Inventory_Raw_Data[[#This Row],[Closing Stock]]+Production_Inventory_Raw_Data[[#This Row],[Safety stock]])</f>
        <v>0</v>
      </c>
    </row>
    <row r="80" spans="1:14" x14ac:dyDescent="0.25">
      <c r="A80" s="1">
        <v>46127</v>
      </c>
      <c r="B80" s="2" t="s">
        <v>18</v>
      </c>
      <c r="C80" s="2" t="s">
        <v>19</v>
      </c>
      <c r="D80" s="2" t="s">
        <v>20</v>
      </c>
      <c r="E80" s="2" t="s">
        <v>46</v>
      </c>
      <c r="F80">
        <v>210</v>
      </c>
      <c r="G80">
        <v>171</v>
      </c>
      <c r="H80">
        <v>93</v>
      </c>
      <c r="I80">
        <v>347</v>
      </c>
      <c r="J80">
        <v>269</v>
      </c>
      <c r="K80" t="s">
        <v>21</v>
      </c>
      <c r="L80" s="2" t="s">
        <v>36</v>
      </c>
      <c r="M80">
        <f xml:space="preserve"> Production_Inventory_Raw_Data[[#This Row],[Forecast Demand]]*10%</f>
        <v>21</v>
      </c>
      <c r="N80">
        <f>MAX(0,Production_Inventory_Raw_Data[[#This Row],[Forecast Demand]]-Production_Inventory_Raw_Data[[#This Row],[Closing Stock]]+Production_Inventory_Raw_Data[[#This Row],[Safety stock]])</f>
        <v>0</v>
      </c>
    </row>
    <row r="81" spans="1:14" x14ac:dyDescent="0.25">
      <c r="A81" s="1">
        <v>46188</v>
      </c>
      <c r="B81" s="2" t="s">
        <v>18</v>
      </c>
      <c r="C81" s="2" t="s">
        <v>19</v>
      </c>
      <c r="D81" s="2" t="s">
        <v>20</v>
      </c>
      <c r="E81" s="2" t="s">
        <v>46</v>
      </c>
      <c r="F81">
        <v>976</v>
      </c>
      <c r="G81">
        <v>806</v>
      </c>
      <c r="H81">
        <v>403</v>
      </c>
      <c r="I81">
        <v>587</v>
      </c>
      <c r="J81">
        <v>184</v>
      </c>
      <c r="K81" t="s">
        <v>21</v>
      </c>
      <c r="L81" s="2" t="s">
        <v>41</v>
      </c>
      <c r="M81">
        <f xml:space="preserve"> Production_Inventory_Raw_Data[[#This Row],[Forecast Demand]]*10%</f>
        <v>97.600000000000009</v>
      </c>
      <c r="N81">
        <f>MAX(0,Production_Inventory_Raw_Data[[#This Row],[Forecast Demand]]-Production_Inventory_Raw_Data[[#This Row],[Closing Stock]]+Production_Inventory_Raw_Data[[#This Row],[Safety stock]])</f>
        <v>889.6</v>
      </c>
    </row>
    <row r="82" spans="1:14" x14ac:dyDescent="0.25">
      <c r="A82" s="1">
        <v>46126</v>
      </c>
      <c r="B82" s="2" t="s">
        <v>44</v>
      </c>
      <c r="C82" s="2" t="s">
        <v>45</v>
      </c>
      <c r="D82" s="2" t="s">
        <v>14</v>
      </c>
      <c r="E82" s="2" t="s">
        <v>26</v>
      </c>
      <c r="F82">
        <v>217</v>
      </c>
      <c r="G82">
        <v>162</v>
      </c>
      <c r="H82">
        <v>200</v>
      </c>
      <c r="I82">
        <v>326</v>
      </c>
      <c r="J82">
        <v>364</v>
      </c>
      <c r="K82" t="s">
        <v>16</v>
      </c>
      <c r="L82" s="2" t="s">
        <v>36</v>
      </c>
      <c r="M82">
        <f xml:space="preserve"> Production_Inventory_Raw_Data[[#This Row],[Forecast Demand]]*10%</f>
        <v>21.700000000000003</v>
      </c>
      <c r="N82">
        <f>MAX(0,Production_Inventory_Raw_Data[[#This Row],[Forecast Demand]]-Production_Inventory_Raw_Data[[#This Row],[Closing Stock]]+Production_Inventory_Raw_Data[[#This Row],[Safety stock]])</f>
        <v>0</v>
      </c>
    </row>
    <row r="83" spans="1:14" x14ac:dyDescent="0.25">
      <c r="A83" s="1">
        <v>46158</v>
      </c>
      <c r="B83" s="2" t="s">
        <v>42</v>
      </c>
      <c r="C83" s="2" t="s">
        <v>43</v>
      </c>
      <c r="D83" s="2" t="s">
        <v>34</v>
      </c>
      <c r="E83" s="2" t="s">
        <v>35</v>
      </c>
      <c r="F83">
        <v>879</v>
      </c>
      <c r="G83">
        <v>803</v>
      </c>
      <c r="H83">
        <v>292</v>
      </c>
      <c r="I83">
        <v>666</v>
      </c>
      <c r="J83">
        <v>155</v>
      </c>
      <c r="K83" t="s">
        <v>21</v>
      </c>
      <c r="L83" s="2" t="s">
        <v>28</v>
      </c>
      <c r="M83">
        <f xml:space="preserve"> Production_Inventory_Raw_Data[[#This Row],[Forecast Demand]]*10%</f>
        <v>87.9</v>
      </c>
      <c r="N83">
        <f>MAX(0,Production_Inventory_Raw_Data[[#This Row],[Forecast Demand]]-Production_Inventory_Raw_Data[[#This Row],[Closing Stock]]+Production_Inventory_Raw_Data[[#This Row],[Safety stock]])</f>
        <v>811.9</v>
      </c>
    </row>
    <row r="84" spans="1:14" x14ac:dyDescent="0.25">
      <c r="A84" s="1">
        <v>46202</v>
      </c>
      <c r="B84" s="2" t="s">
        <v>39</v>
      </c>
      <c r="C84" s="2" t="s">
        <v>40</v>
      </c>
      <c r="D84" s="2" t="s">
        <v>25</v>
      </c>
      <c r="E84" s="2" t="s">
        <v>46</v>
      </c>
      <c r="F84">
        <v>963</v>
      </c>
      <c r="G84">
        <v>955</v>
      </c>
      <c r="H84">
        <v>219</v>
      </c>
      <c r="I84">
        <v>460</v>
      </c>
      <c r="J84">
        <v>0</v>
      </c>
      <c r="K84" t="s">
        <v>27</v>
      </c>
      <c r="L84" s="2" t="s">
        <v>41</v>
      </c>
      <c r="M84">
        <f xml:space="preserve"> Production_Inventory_Raw_Data[[#This Row],[Forecast Demand]]*10%</f>
        <v>96.300000000000011</v>
      </c>
      <c r="N84">
        <f>MAX(0,Production_Inventory_Raw_Data[[#This Row],[Forecast Demand]]-Production_Inventory_Raw_Data[[#This Row],[Closing Stock]]+Production_Inventory_Raw_Data[[#This Row],[Safety stock]])</f>
        <v>1059.3</v>
      </c>
    </row>
    <row r="85" spans="1:14" x14ac:dyDescent="0.25">
      <c r="A85" s="1">
        <v>46072</v>
      </c>
      <c r="B85" s="2" t="s">
        <v>42</v>
      </c>
      <c r="C85" s="2" t="s">
        <v>43</v>
      </c>
      <c r="D85" s="2" t="s">
        <v>34</v>
      </c>
      <c r="E85" s="2" t="s">
        <v>35</v>
      </c>
      <c r="F85">
        <v>513</v>
      </c>
      <c r="G85">
        <v>423</v>
      </c>
      <c r="H85">
        <v>168</v>
      </c>
      <c r="I85">
        <v>223</v>
      </c>
      <c r="J85">
        <v>0</v>
      </c>
      <c r="K85" t="s">
        <v>27</v>
      </c>
      <c r="L85" s="2" t="s">
        <v>17</v>
      </c>
      <c r="M85">
        <f xml:space="preserve"> Production_Inventory_Raw_Data[[#This Row],[Forecast Demand]]*10%</f>
        <v>51.300000000000004</v>
      </c>
      <c r="N85">
        <f>MAX(0,Production_Inventory_Raw_Data[[#This Row],[Forecast Demand]]-Production_Inventory_Raw_Data[[#This Row],[Closing Stock]]+Production_Inventory_Raw_Data[[#This Row],[Safety stock]])</f>
        <v>564.29999999999995</v>
      </c>
    </row>
    <row r="86" spans="1:14" x14ac:dyDescent="0.25">
      <c r="A86" s="1">
        <v>46070</v>
      </c>
      <c r="B86" s="2" t="s">
        <v>12</v>
      </c>
      <c r="C86" s="2" t="s">
        <v>13</v>
      </c>
      <c r="D86" s="2" t="s">
        <v>14</v>
      </c>
      <c r="E86" s="2" t="s">
        <v>26</v>
      </c>
      <c r="F86">
        <v>960</v>
      </c>
      <c r="G86">
        <v>946</v>
      </c>
      <c r="H86">
        <v>440</v>
      </c>
      <c r="I86">
        <v>806</v>
      </c>
      <c r="J86">
        <v>300</v>
      </c>
      <c r="K86" t="s">
        <v>16</v>
      </c>
      <c r="L86" s="2" t="s">
        <v>17</v>
      </c>
      <c r="M86">
        <f xml:space="preserve"> Production_Inventory_Raw_Data[[#This Row],[Forecast Demand]]*10%</f>
        <v>96</v>
      </c>
      <c r="N86">
        <f>MAX(0,Production_Inventory_Raw_Data[[#This Row],[Forecast Demand]]-Production_Inventory_Raw_Data[[#This Row],[Closing Stock]]+Production_Inventory_Raw_Data[[#This Row],[Safety stock]])</f>
        <v>756</v>
      </c>
    </row>
    <row r="87" spans="1:14" x14ac:dyDescent="0.25">
      <c r="A87" s="1">
        <v>46173</v>
      </c>
      <c r="B87" s="2" t="s">
        <v>23</v>
      </c>
      <c r="C87" s="2" t="s">
        <v>24</v>
      </c>
      <c r="D87" s="2" t="s">
        <v>25</v>
      </c>
      <c r="E87" s="2" t="s">
        <v>35</v>
      </c>
      <c r="F87">
        <v>956</v>
      </c>
      <c r="G87">
        <v>916</v>
      </c>
      <c r="H87">
        <v>191</v>
      </c>
      <c r="I87">
        <v>841</v>
      </c>
      <c r="J87">
        <v>116</v>
      </c>
      <c r="K87" t="s">
        <v>21</v>
      </c>
      <c r="L87" s="2" t="s">
        <v>28</v>
      </c>
      <c r="M87">
        <f xml:space="preserve"> Production_Inventory_Raw_Data[[#This Row],[Forecast Demand]]*10%</f>
        <v>95.600000000000009</v>
      </c>
      <c r="N87">
        <f>MAX(0,Production_Inventory_Raw_Data[[#This Row],[Forecast Demand]]-Production_Inventory_Raw_Data[[#This Row],[Closing Stock]]+Production_Inventory_Raw_Data[[#This Row],[Safety stock]])</f>
        <v>935.6</v>
      </c>
    </row>
    <row r="88" spans="1:14" x14ac:dyDescent="0.25">
      <c r="A88" s="1">
        <v>46034</v>
      </c>
      <c r="B88" s="2" t="s">
        <v>47</v>
      </c>
      <c r="C88" s="2" t="s">
        <v>48</v>
      </c>
      <c r="D88" s="2" t="s">
        <v>25</v>
      </c>
      <c r="E88" s="2" t="s">
        <v>15</v>
      </c>
      <c r="F88">
        <v>925</v>
      </c>
      <c r="G88">
        <v>920</v>
      </c>
      <c r="H88">
        <v>114</v>
      </c>
      <c r="I88">
        <v>380</v>
      </c>
      <c r="J88">
        <v>0</v>
      </c>
      <c r="K88" t="s">
        <v>27</v>
      </c>
      <c r="L88" s="2" t="s">
        <v>22</v>
      </c>
      <c r="M88">
        <f xml:space="preserve"> Production_Inventory_Raw_Data[[#This Row],[Forecast Demand]]*10%</f>
        <v>92.5</v>
      </c>
      <c r="N88">
        <f>MAX(0,Production_Inventory_Raw_Data[[#This Row],[Forecast Demand]]-Production_Inventory_Raw_Data[[#This Row],[Closing Stock]]+Production_Inventory_Raw_Data[[#This Row],[Safety stock]])</f>
        <v>1017.5</v>
      </c>
    </row>
    <row r="89" spans="1:14" x14ac:dyDescent="0.25">
      <c r="A89" s="1">
        <v>46148</v>
      </c>
      <c r="B89" s="2" t="s">
        <v>18</v>
      </c>
      <c r="C89" s="2" t="s">
        <v>19</v>
      </c>
      <c r="D89" s="2" t="s">
        <v>20</v>
      </c>
      <c r="E89" s="2" t="s">
        <v>15</v>
      </c>
      <c r="F89">
        <v>499</v>
      </c>
      <c r="G89">
        <v>381</v>
      </c>
      <c r="H89">
        <v>376</v>
      </c>
      <c r="I89">
        <v>870</v>
      </c>
      <c r="J89">
        <v>865</v>
      </c>
      <c r="K89" t="s">
        <v>16</v>
      </c>
      <c r="L89" s="2" t="s">
        <v>28</v>
      </c>
      <c r="M89">
        <f xml:space="preserve"> Production_Inventory_Raw_Data[[#This Row],[Forecast Demand]]*10%</f>
        <v>49.900000000000006</v>
      </c>
      <c r="N89">
        <f>MAX(0,Production_Inventory_Raw_Data[[#This Row],[Forecast Demand]]-Production_Inventory_Raw_Data[[#This Row],[Closing Stock]]+Production_Inventory_Raw_Data[[#This Row],[Safety stock]])</f>
        <v>0</v>
      </c>
    </row>
    <row r="90" spans="1:14" x14ac:dyDescent="0.25">
      <c r="A90" s="1">
        <v>46135</v>
      </c>
      <c r="B90" s="2" t="s">
        <v>47</v>
      </c>
      <c r="C90" s="2" t="s">
        <v>48</v>
      </c>
      <c r="D90" s="2" t="s">
        <v>25</v>
      </c>
      <c r="E90" s="2" t="s">
        <v>35</v>
      </c>
      <c r="F90">
        <v>787</v>
      </c>
      <c r="G90">
        <v>622</v>
      </c>
      <c r="H90">
        <v>290</v>
      </c>
      <c r="I90">
        <v>590</v>
      </c>
      <c r="J90">
        <v>258</v>
      </c>
      <c r="K90" t="s">
        <v>21</v>
      </c>
      <c r="L90" s="2" t="s">
        <v>36</v>
      </c>
      <c r="M90">
        <f xml:space="preserve"> Production_Inventory_Raw_Data[[#This Row],[Forecast Demand]]*10%</f>
        <v>78.7</v>
      </c>
      <c r="N90">
        <f>MAX(0,Production_Inventory_Raw_Data[[#This Row],[Forecast Demand]]-Production_Inventory_Raw_Data[[#This Row],[Closing Stock]]+Production_Inventory_Raw_Data[[#This Row],[Safety stock]])</f>
        <v>607.70000000000005</v>
      </c>
    </row>
    <row r="91" spans="1:14" x14ac:dyDescent="0.25">
      <c r="A91" s="1">
        <v>46198</v>
      </c>
      <c r="B91" s="2" t="s">
        <v>39</v>
      </c>
      <c r="C91" s="2" t="s">
        <v>40</v>
      </c>
      <c r="D91" s="2" t="s">
        <v>25</v>
      </c>
      <c r="E91" s="2" t="s">
        <v>15</v>
      </c>
      <c r="F91">
        <v>703</v>
      </c>
      <c r="G91">
        <v>510</v>
      </c>
      <c r="H91">
        <v>345</v>
      </c>
      <c r="I91">
        <v>744</v>
      </c>
      <c r="J91">
        <v>579</v>
      </c>
      <c r="K91" t="s">
        <v>16</v>
      </c>
      <c r="L91" s="2" t="s">
        <v>41</v>
      </c>
      <c r="M91">
        <f xml:space="preserve"> Production_Inventory_Raw_Data[[#This Row],[Forecast Demand]]*10%</f>
        <v>70.3</v>
      </c>
      <c r="N91">
        <f>MAX(0,Production_Inventory_Raw_Data[[#This Row],[Forecast Demand]]-Production_Inventory_Raw_Data[[#This Row],[Closing Stock]]+Production_Inventory_Raw_Data[[#This Row],[Safety stock]])</f>
        <v>194.3</v>
      </c>
    </row>
    <row r="92" spans="1:14" x14ac:dyDescent="0.25">
      <c r="A92" s="1">
        <v>46044</v>
      </c>
      <c r="B92" s="2" t="s">
        <v>30</v>
      </c>
      <c r="C92" s="2" t="s">
        <v>31</v>
      </c>
      <c r="D92" s="2" t="s">
        <v>14</v>
      </c>
      <c r="E92" s="2" t="s">
        <v>26</v>
      </c>
      <c r="F92">
        <v>352</v>
      </c>
      <c r="G92">
        <v>349</v>
      </c>
      <c r="H92">
        <v>338</v>
      </c>
      <c r="I92">
        <v>411</v>
      </c>
      <c r="J92">
        <v>400</v>
      </c>
      <c r="K92" t="s">
        <v>16</v>
      </c>
      <c r="L92" s="2" t="s">
        <v>22</v>
      </c>
      <c r="M92">
        <f xml:space="preserve"> Production_Inventory_Raw_Data[[#This Row],[Forecast Demand]]*10%</f>
        <v>35.200000000000003</v>
      </c>
      <c r="N92">
        <f>MAX(0,Production_Inventory_Raw_Data[[#This Row],[Forecast Demand]]-Production_Inventory_Raw_Data[[#This Row],[Closing Stock]]+Production_Inventory_Raw_Data[[#This Row],[Safety stock]])</f>
        <v>0</v>
      </c>
    </row>
    <row r="93" spans="1:14" x14ac:dyDescent="0.25">
      <c r="A93" s="1">
        <v>46095</v>
      </c>
      <c r="B93" s="2" t="s">
        <v>42</v>
      </c>
      <c r="C93" s="2" t="s">
        <v>43</v>
      </c>
      <c r="D93" s="2" t="s">
        <v>34</v>
      </c>
      <c r="E93" s="2" t="s">
        <v>46</v>
      </c>
      <c r="F93">
        <v>233</v>
      </c>
      <c r="G93">
        <v>192</v>
      </c>
      <c r="H93">
        <v>197</v>
      </c>
      <c r="I93">
        <v>823</v>
      </c>
      <c r="J93">
        <v>828</v>
      </c>
      <c r="K93" t="s">
        <v>16</v>
      </c>
      <c r="L93" s="2" t="s">
        <v>29</v>
      </c>
      <c r="M93">
        <f xml:space="preserve"> Production_Inventory_Raw_Data[[#This Row],[Forecast Demand]]*10%</f>
        <v>23.3</v>
      </c>
      <c r="N93">
        <f>MAX(0,Production_Inventory_Raw_Data[[#This Row],[Forecast Demand]]-Production_Inventory_Raw_Data[[#This Row],[Closing Stock]]+Production_Inventory_Raw_Data[[#This Row],[Safety stock]])</f>
        <v>0</v>
      </c>
    </row>
    <row r="94" spans="1:14" x14ac:dyDescent="0.25">
      <c r="A94" s="1">
        <v>46061</v>
      </c>
      <c r="B94" s="2" t="s">
        <v>39</v>
      </c>
      <c r="C94" s="2" t="s">
        <v>40</v>
      </c>
      <c r="D94" s="2" t="s">
        <v>25</v>
      </c>
      <c r="E94" s="2" t="s">
        <v>35</v>
      </c>
      <c r="F94">
        <v>317</v>
      </c>
      <c r="G94">
        <v>290</v>
      </c>
      <c r="H94">
        <v>165</v>
      </c>
      <c r="I94">
        <v>763</v>
      </c>
      <c r="J94">
        <v>638</v>
      </c>
      <c r="K94" t="s">
        <v>16</v>
      </c>
      <c r="L94" s="2" t="s">
        <v>17</v>
      </c>
      <c r="M94">
        <f xml:space="preserve"> Production_Inventory_Raw_Data[[#This Row],[Forecast Demand]]*10%</f>
        <v>31.700000000000003</v>
      </c>
      <c r="N94">
        <f>MAX(0,Production_Inventory_Raw_Data[[#This Row],[Forecast Demand]]-Production_Inventory_Raw_Data[[#This Row],[Closing Stock]]+Production_Inventory_Raw_Data[[#This Row],[Safety stock]])</f>
        <v>0</v>
      </c>
    </row>
    <row r="95" spans="1:14" x14ac:dyDescent="0.25">
      <c r="A95" s="1">
        <v>46029</v>
      </c>
      <c r="B95" s="2" t="s">
        <v>39</v>
      </c>
      <c r="C95" s="2" t="s">
        <v>40</v>
      </c>
      <c r="D95" s="2" t="s">
        <v>25</v>
      </c>
      <c r="E95" s="2" t="s">
        <v>15</v>
      </c>
      <c r="F95">
        <v>952</v>
      </c>
      <c r="G95">
        <v>831</v>
      </c>
      <c r="H95">
        <v>359</v>
      </c>
      <c r="I95">
        <v>356</v>
      </c>
      <c r="J95">
        <v>0</v>
      </c>
      <c r="K95" t="s">
        <v>27</v>
      </c>
      <c r="L95" s="2" t="s">
        <v>22</v>
      </c>
      <c r="M95">
        <f xml:space="preserve"> Production_Inventory_Raw_Data[[#This Row],[Forecast Demand]]*10%</f>
        <v>95.2</v>
      </c>
      <c r="N95">
        <f>MAX(0,Production_Inventory_Raw_Data[[#This Row],[Forecast Demand]]-Production_Inventory_Raw_Data[[#This Row],[Closing Stock]]+Production_Inventory_Raw_Data[[#This Row],[Safety stock]])</f>
        <v>1047.2</v>
      </c>
    </row>
    <row r="96" spans="1:14" x14ac:dyDescent="0.25">
      <c r="A96" s="1">
        <v>46091</v>
      </c>
      <c r="B96" s="2" t="s">
        <v>23</v>
      </c>
      <c r="C96" s="2" t="s">
        <v>24</v>
      </c>
      <c r="D96" s="2" t="s">
        <v>25</v>
      </c>
      <c r="E96" s="2" t="s">
        <v>15</v>
      </c>
      <c r="F96">
        <v>890</v>
      </c>
      <c r="G96">
        <v>633</v>
      </c>
      <c r="H96">
        <v>441</v>
      </c>
      <c r="I96">
        <v>788</v>
      </c>
      <c r="J96">
        <v>596</v>
      </c>
      <c r="K96" t="s">
        <v>16</v>
      </c>
      <c r="L96" s="2" t="s">
        <v>29</v>
      </c>
      <c r="M96">
        <f xml:space="preserve"> Production_Inventory_Raw_Data[[#This Row],[Forecast Demand]]*10%</f>
        <v>89</v>
      </c>
      <c r="N96">
        <f>MAX(0,Production_Inventory_Raw_Data[[#This Row],[Forecast Demand]]-Production_Inventory_Raw_Data[[#This Row],[Closing Stock]]+Production_Inventory_Raw_Data[[#This Row],[Safety stock]])</f>
        <v>383</v>
      </c>
    </row>
    <row r="97" spans="1:14" x14ac:dyDescent="0.25">
      <c r="A97" s="1">
        <v>46049</v>
      </c>
      <c r="B97" s="2" t="s">
        <v>32</v>
      </c>
      <c r="C97" s="2" t="s">
        <v>33</v>
      </c>
      <c r="D97" s="2" t="s">
        <v>34</v>
      </c>
      <c r="E97" s="2" t="s">
        <v>26</v>
      </c>
      <c r="F97">
        <v>618</v>
      </c>
      <c r="G97">
        <v>517</v>
      </c>
      <c r="H97">
        <v>214</v>
      </c>
      <c r="I97">
        <v>786</v>
      </c>
      <c r="J97">
        <v>483</v>
      </c>
      <c r="K97" t="s">
        <v>16</v>
      </c>
      <c r="L97" s="2" t="s">
        <v>22</v>
      </c>
      <c r="M97">
        <f xml:space="preserve"> Production_Inventory_Raw_Data[[#This Row],[Forecast Demand]]*10%</f>
        <v>61.800000000000004</v>
      </c>
      <c r="N97">
        <f>MAX(0,Production_Inventory_Raw_Data[[#This Row],[Forecast Demand]]-Production_Inventory_Raw_Data[[#This Row],[Closing Stock]]+Production_Inventory_Raw_Data[[#This Row],[Safety stock]])</f>
        <v>196.8</v>
      </c>
    </row>
    <row r="98" spans="1:14" x14ac:dyDescent="0.25">
      <c r="A98" s="1">
        <v>46087</v>
      </c>
      <c r="B98" s="2" t="s">
        <v>18</v>
      </c>
      <c r="C98" s="2" t="s">
        <v>19</v>
      </c>
      <c r="D98" s="2" t="s">
        <v>20</v>
      </c>
      <c r="E98" s="2" t="s">
        <v>35</v>
      </c>
      <c r="F98">
        <v>237</v>
      </c>
      <c r="G98">
        <v>223</v>
      </c>
      <c r="H98">
        <v>95</v>
      </c>
      <c r="I98">
        <v>422</v>
      </c>
      <c r="J98">
        <v>294</v>
      </c>
      <c r="K98" t="s">
        <v>21</v>
      </c>
      <c r="L98" s="2" t="s">
        <v>29</v>
      </c>
      <c r="M98">
        <f xml:space="preserve"> Production_Inventory_Raw_Data[[#This Row],[Forecast Demand]]*10%</f>
        <v>23.700000000000003</v>
      </c>
      <c r="N98">
        <f>MAX(0,Production_Inventory_Raw_Data[[#This Row],[Forecast Demand]]-Production_Inventory_Raw_Data[[#This Row],[Closing Stock]]+Production_Inventory_Raw_Data[[#This Row],[Safety stock]])</f>
        <v>0</v>
      </c>
    </row>
    <row r="99" spans="1:14" x14ac:dyDescent="0.25">
      <c r="A99" s="1">
        <v>46023</v>
      </c>
      <c r="B99" s="2" t="s">
        <v>12</v>
      </c>
      <c r="C99" s="2" t="s">
        <v>13</v>
      </c>
      <c r="D99" s="2" t="s">
        <v>14</v>
      </c>
      <c r="E99" s="2" t="s">
        <v>46</v>
      </c>
      <c r="F99">
        <v>991</v>
      </c>
      <c r="G99">
        <v>899</v>
      </c>
      <c r="H99">
        <v>492</v>
      </c>
      <c r="I99">
        <v>626</v>
      </c>
      <c r="J99">
        <v>219</v>
      </c>
      <c r="K99" t="s">
        <v>21</v>
      </c>
      <c r="L99" s="2" t="s">
        <v>22</v>
      </c>
      <c r="M99">
        <f xml:space="preserve"> Production_Inventory_Raw_Data[[#This Row],[Forecast Demand]]*10%</f>
        <v>99.100000000000009</v>
      </c>
      <c r="N99">
        <f>MAX(0,Production_Inventory_Raw_Data[[#This Row],[Forecast Demand]]-Production_Inventory_Raw_Data[[#This Row],[Closing Stock]]+Production_Inventory_Raw_Data[[#This Row],[Safety stock]])</f>
        <v>871.1</v>
      </c>
    </row>
    <row r="100" spans="1:14" x14ac:dyDescent="0.25">
      <c r="A100" s="1">
        <v>46163</v>
      </c>
      <c r="B100" s="2" t="s">
        <v>44</v>
      </c>
      <c r="C100" s="2" t="s">
        <v>45</v>
      </c>
      <c r="D100" s="2" t="s">
        <v>14</v>
      </c>
      <c r="E100" s="2" t="s">
        <v>26</v>
      </c>
      <c r="F100">
        <v>978</v>
      </c>
      <c r="G100">
        <v>710</v>
      </c>
      <c r="H100">
        <v>154</v>
      </c>
      <c r="I100">
        <v>373</v>
      </c>
      <c r="J100">
        <v>0</v>
      </c>
      <c r="K100" t="s">
        <v>27</v>
      </c>
      <c r="L100" s="2" t="s">
        <v>28</v>
      </c>
      <c r="M100">
        <f xml:space="preserve"> Production_Inventory_Raw_Data[[#This Row],[Forecast Demand]]*10%</f>
        <v>97.800000000000011</v>
      </c>
      <c r="N100">
        <f>MAX(0,Production_Inventory_Raw_Data[[#This Row],[Forecast Demand]]-Production_Inventory_Raw_Data[[#This Row],[Closing Stock]]+Production_Inventory_Raw_Data[[#This Row],[Safety stock]])</f>
        <v>1075.8</v>
      </c>
    </row>
    <row r="101" spans="1:14" x14ac:dyDescent="0.25">
      <c r="A101" s="1">
        <v>46146</v>
      </c>
      <c r="B101" s="2" t="s">
        <v>42</v>
      </c>
      <c r="C101" s="2" t="s">
        <v>43</v>
      </c>
      <c r="D101" s="2" t="s">
        <v>34</v>
      </c>
      <c r="E101" s="2" t="s">
        <v>46</v>
      </c>
      <c r="F101">
        <v>721</v>
      </c>
      <c r="G101">
        <v>684</v>
      </c>
      <c r="H101">
        <v>189</v>
      </c>
      <c r="I101">
        <v>525</v>
      </c>
      <c r="J101">
        <v>30</v>
      </c>
      <c r="K101" t="s">
        <v>27</v>
      </c>
      <c r="L101" s="2" t="s">
        <v>28</v>
      </c>
      <c r="M101">
        <f xml:space="preserve"> Production_Inventory_Raw_Data[[#This Row],[Forecast Demand]]*10%</f>
        <v>72.100000000000009</v>
      </c>
      <c r="N101">
        <f>MAX(0,Production_Inventory_Raw_Data[[#This Row],[Forecast Demand]]-Production_Inventory_Raw_Data[[#This Row],[Closing Stock]]+Production_Inventory_Raw_Data[[#This Row],[Safety stock]])</f>
        <v>763.1</v>
      </c>
    </row>
    <row r="102" spans="1:14" x14ac:dyDescent="0.25">
      <c r="A102" s="1">
        <v>46171</v>
      </c>
      <c r="B102" s="2" t="s">
        <v>42</v>
      </c>
      <c r="C102" s="2" t="s">
        <v>43</v>
      </c>
      <c r="D102" s="2" t="s">
        <v>34</v>
      </c>
      <c r="E102" s="2" t="s">
        <v>46</v>
      </c>
      <c r="F102">
        <v>943</v>
      </c>
      <c r="G102">
        <v>812</v>
      </c>
      <c r="H102">
        <v>478</v>
      </c>
      <c r="I102">
        <v>701</v>
      </c>
      <c r="J102">
        <v>367</v>
      </c>
      <c r="K102" t="s">
        <v>16</v>
      </c>
      <c r="L102" s="2" t="s">
        <v>28</v>
      </c>
      <c r="M102">
        <f xml:space="preserve"> Production_Inventory_Raw_Data[[#This Row],[Forecast Demand]]*10%</f>
        <v>94.300000000000011</v>
      </c>
      <c r="N102">
        <f>MAX(0,Production_Inventory_Raw_Data[[#This Row],[Forecast Demand]]-Production_Inventory_Raw_Data[[#This Row],[Closing Stock]]+Production_Inventory_Raw_Data[[#This Row],[Safety stock]])</f>
        <v>670.3</v>
      </c>
    </row>
    <row r="103" spans="1:14" x14ac:dyDescent="0.25">
      <c r="A103" s="1">
        <v>46169</v>
      </c>
      <c r="B103" s="2" t="s">
        <v>44</v>
      </c>
      <c r="C103" s="2" t="s">
        <v>45</v>
      </c>
      <c r="D103" s="2" t="s">
        <v>14</v>
      </c>
      <c r="E103" s="2" t="s">
        <v>46</v>
      </c>
      <c r="F103">
        <v>529</v>
      </c>
      <c r="G103">
        <v>418</v>
      </c>
      <c r="H103">
        <v>407</v>
      </c>
      <c r="I103">
        <v>344</v>
      </c>
      <c r="J103">
        <v>333</v>
      </c>
      <c r="K103" t="s">
        <v>16</v>
      </c>
      <c r="L103" s="2" t="s">
        <v>28</v>
      </c>
      <c r="M103">
        <f xml:space="preserve"> Production_Inventory_Raw_Data[[#This Row],[Forecast Demand]]*10%</f>
        <v>52.900000000000006</v>
      </c>
      <c r="N103">
        <f>MAX(0,Production_Inventory_Raw_Data[[#This Row],[Forecast Demand]]-Production_Inventory_Raw_Data[[#This Row],[Closing Stock]]+Production_Inventory_Raw_Data[[#This Row],[Safety stock]])</f>
        <v>248.9</v>
      </c>
    </row>
    <row r="104" spans="1:14" x14ac:dyDescent="0.25">
      <c r="A104" s="1">
        <v>46144</v>
      </c>
      <c r="B104" s="2" t="s">
        <v>23</v>
      </c>
      <c r="C104" s="2" t="s">
        <v>24</v>
      </c>
      <c r="D104" s="2" t="s">
        <v>25</v>
      </c>
      <c r="E104" s="2" t="s">
        <v>46</v>
      </c>
      <c r="F104">
        <v>994</v>
      </c>
      <c r="G104">
        <v>905</v>
      </c>
      <c r="H104">
        <v>72</v>
      </c>
      <c r="I104">
        <v>425</v>
      </c>
      <c r="J104">
        <v>0</v>
      </c>
      <c r="K104" t="s">
        <v>27</v>
      </c>
      <c r="L104" s="2" t="s">
        <v>28</v>
      </c>
      <c r="M104">
        <f xml:space="preserve"> Production_Inventory_Raw_Data[[#This Row],[Forecast Demand]]*10%</f>
        <v>99.4</v>
      </c>
      <c r="N104">
        <f>MAX(0,Production_Inventory_Raw_Data[[#This Row],[Forecast Demand]]-Production_Inventory_Raw_Data[[#This Row],[Closing Stock]]+Production_Inventory_Raw_Data[[#This Row],[Safety stock]])</f>
        <v>1093.4000000000001</v>
      </c>
    </row>
    <row r="105" spans="1:14" x14ac:dyDescent="0.25">
      <c r="A105" s="1">
        <v>46026</v>
      </c>
      <c r="B105" s="2" t="s">
        <v>12</v>
      </c>
      <c r="C105" s="2" t="s">
        <v>13</v>
      </c>
      <c r="D105" s="2" t="s">
        <v>14</v>
      </c>
      <c r="E105" s="2" t="s">
        <v>26</v>
      </c>
      <c r="F105">
        <v>650</v>
      </c>
      <c r="G105">
        <v>479</v>
      </c>
      <c r="H105">
        <v>319</v>
      </c>
      <c r="I105">
        <v>567</v>
      </c>
      <c r="J105">
        <v>407</v>
      </c>
      <c r="K105" t="s">
        <v>16</v>
      </c>
      <c r="L105" s="2" t="s">
        <v>22</v>
      </c>
      <c r="M105">
        <f xml:space="preserve"> Production_Inventory_Raw_Data[[#This Row],[Forecast Demand]]*10%</f>
        <v>65</v>
      </c>
      <c r="N105">
        <f>MAX(0,Production_Inventory_Raw_Data[[#This Row],[Forecast Demand]]-Production_Inventory_Raw_Data[[#This Row],[Closing Stock]]+Production_Inventory_Raw_Data[[#This Row],[Safety stock]])</f>
        <v>308</v>
      </c>
    </row>
    <row r="106" spans="1:14" x14ac:dyDescent="0.25">
      <c r="A106" s="1">
        <v>46107</v>
      </c>
      <c r="B106" s="2" t="s">
        <v>37</v>
      </c>
      <c r="C106" s="2" t="s">
        <v>38</v>
      </c>
      <c r="D106" s="2" t="s">
        <v>25</v>
      </c>
      <c r="E106" s="2" t="s">
        <v>46</v>
      </c>
      <c r="F106">
        <v>909</v>
      </c>
      <c r="G106">
        <v>839</v>
      </c>
      <c r="H106">
        <v>382</v>
      </c>
      <c r="I106">
        <v>182</v>
      </c>
      <c r="J106">
        <v>0</v>
      </c>
      <c r="K106" t="s">
        <v>27</v>
      </c>
      <c r="L106" s="2" t="s">
        <v>29</v>
      </c>
      <c r="M106">
        <f xml:space="preserve"> Production_Inventory_Raw_Data[[#This Row],[Forecast Demand]]*10%</f>
        <v>90.9</v>
      </c>
      <c r="N106">
        <f>MAX(0,Production_Inventory_Raw_Data[[#This Row],[Forecast Demand]]-Production_Inventory_Raw_Data[[#This Row],[Closing Stock]]+Production_Inventory_Raw_Data[[#This Row],[Safety stock]])</f>
        <v>999.9</v>
      </c>
    </row>
    <row r="107" spans="1:14" x14ac:dyDescent="0.25">
      <c r="A107" s="1">
        <v>46161</v>
      </c>
      <c r="B107" s="2" t="s">
        <v>32</v>
      </c>
      <c r="C107" s="2" t="s">
        <v>33</v>
      </c>
      <c r="D107" s="2" t="s">
        <v>34</v>
      </c>
      <c r="E107" s="2" t="s">
        <v>15</v>
      </c>
      <c r="F107">
        <v>841</v>
      </c>
      <c r="G107">
        <v>771</v>
      </c>
      <c r="H107">
        <v>438</v>
      </c>
      <c r="I107">
        <v>599</v>
      </c>
      <c r="J107">
        <v>266</v>
      </c>
      <c r="K107" t="s">
        <v>21</v>
      </c>
      <c r="L107" s="2" t="s">
        <v>28</v>
      </c>
      <c r="M107">
        <f xml:space="preserve"> Production_Inventory_Raw_Data[[#This Row],[Forecast Demand]]*10%</f>
        <v>84.100000000000009</v>
      </c>
      <c r="N107">
        <f>MAX(0,Production_Inventory_Raw_Data[[#This Row],[Forecast Demand]]-Production_Inventory_Raw_Data[[#This Row],[Closing Stock]]+Production_Inventory_Raw_Data[[#This Row],[Safety stock]])</f>
        <v>659.1</v>
      </c>
    </row>
    <row r="108" spans="1:14" x14ac:dyDescent="0.25">
      <c r="A108" s="1">
        <v>46203</v>
      </c>
      <c r="B108" s="2" t="s">
        <v>12</v>
      </c>
      <c r="C108" s="2" t="s">
        <v>13</v>
      </c>
      <c r="D108" s="2" t="s">
        <v>14</v>
      </c>
      <c r="E108" s="2" t="s">
        <v>15</v>
      </c>
      <c r="F108">
        <v>644</v>
      </c>
      <c r="G108">
        <v>475</v>
      </c>
      <c r="H108">
        <v>439</v>
      </c>
      <c r="I108">
        <v>748</v>
      </c>
      <c r="J108">
        <v>712</v>
      </c>
      <c r="K108" t="s">
        <v>16</v>
      </c>
      <c r="L108" s="2" t="s">
        <v>41</v>
      </c>
      <c r="M108">
        <f xml:space="preserve"> Production_Inventory_Raw_Data[[#This Row],[Forecast Demand]]*10%</f>
        <v>64.400000000000006</v>
      </c>
      <c r="N108">
        <f>MAX(0,Production_Inventory_Raw_Data[[#This Row],[Forecast Demand]]-Production_Inventory_Raw_Data[[#This Row],[Closing Stock]]+Production_Inventory_Raw_Data[[#This Row],[Safety stock]])</f>
        <v>0</v>
      </c>
    </row>
    <row r="109" spans="1:14" x14ac:dyDescent="0.25">
      <c r="A109" s="1">
        <v>46197</v>
      </c>
      <c r="B109" s="2" t="s">
        <v>12</v>
      </c>
      <c r="C109" s="2" t="s">
        <v>13</v>
      </c>
      <c r="D109" s="2" t="s">
        <v>14</v>
      </c>
      <c r="E109" s="2" t="s">
        <v>26</v>
      </c>
      <c r="F109">
        <v>824</v>
      </c>
      <c r="G109">
        <v>798</v>
      </c>
      <c r="H109">
        <v>245</v>
      </c>
      <c r="I109">
        <v>734</v>
      </c>
      <c r="J109">
        <v>181</v>
      </c>
      <c r="K109" t="s">
        <v>21</v>
      </c>
      <c r="L109" s="2" t="s">
        <v>41</v>
      </c>
      <c r="M109">
        <f xml:space="preserve"> Production_Inventory_Raw_Data[[#This Row],[Forecast Demand]]*10%</f>
        <v>82.4</v>
      </c>
      <c r="N109">
        <f>MAX(0,Production_Inventory_Raw_Data[[#This Row],[Forecast Demand]]-Production_Inventory_Raw_Data[[#This Row],[Closing Stock]]+Production_Inventory_Raw_Data[[#This Row],[Safety stock]])</f>
        <v>725.4</v>
      </c>
    </row>
    <row r="110" spans="1:14" x14ac:dyDescent="0.25">
      <c r="A110" s="1">
        <v>46186</v>
      </c>
      <c r="B110" s="2" t="s">
        <v>44</v>
      </c>
      <c r="C110" s="2" t="s">
        <v>45</v>
      </c>
      <c r="D110" s="2" t="s">
        <v>14</v>
      </c>
      <c r="E110" s="2" t="s">
        <v>35</v>
      </c>
      <c r="F110">
        <v>797</v>
      </c>
      <c r="G110">
        <v>593</v>
      </c>
      <c r="H110">
        <v>168</v>
      </c>
      <c r="I110">
        <v>572</v>
      </c>
      <c r="J110">
        <v>147</v>
      </c>
      <c r="K110" t="s">
        <v>21</v>
      </c>
      <c r="L110" s="2" t="s">
        <v>41</v>
      </c>
      <c r="M110">
        <f xml:space="preserve"> Production_Inventory_Raw_Data[[#This Row],[Forecast Demand]]*10%</f>
        <v>79.7</v>
      </c>
      <c r="N110">
        <f>MAX(0,Production_Inventory_Raw_Data[[#This Row],[Forecast Demand]]-Production_Inventory_Raw_Data[[#This Row],[Closing Stock]]+Production_Inventory_Raw_Data[[#This Row],[Safety stock]])</f>
        <v>729.7</v>
      </c>
    </row>
    <row r="111" spans="1:14" x14ac:dyDescent="0.25">
      <c r="A111" s="1">
        <v>46081</v>
      </c>
      <c r="B111" s="2" t="s">
        <v>37</v>
      </c>
      <c r="C111" s="2" t="s">
        <v>38</v>
      </c>
      <c r="D111" s="2" t="s">
        <v>25</v>
      </c>
      <c r="E111" s="2" t="s">
        <v>35</v>
      </c>
      <c r="F111">
        <v>963</v>
      </c>
      <c r="G111">
        <v>928</v>
      </c>
      <c r="H111">
        <v>476</v>
      </c>
      <c r="I111">
        <v>393</v>
      </c>
      <c r="J111">
        <v>0</v>
      </c>
      <c r="K111" t="s">
        <v>27</v>
      </c>
      <c r="L111" s="2" t="s">
        <v>17</v>
      </c>
      <c r="M111">
        <f xml:space="preserve"> Production_Inventory_Raw_Data[[#This Row],[Forecast Demand]]*10%</f>
        <v>96.300000000000011</v>
      </c>
      <c r="N111">
        <f>MAX(0,Production_Inventory_Raw_Data[[#This Row],[Forecast Demand]]-Production_Inventory_Raw_Data[[#This Row],[Closing Stock]]+Production_Inventory_Raw_Data[[#This Row],[Safety stock]])</f>
        <v>1059.3</v>
      </c>
    </row>
    <row r="112" spans="1:14" x14ac:dyDescent="0.25">
      <c r="A112" s="1">
        <v>46196</v>
      </c>
      <c r="B112" s="2" t="s">
        <v>23</v>
      </c>
      <c r="C112" s="2" t="s">
        <v>24</v>
      </c>
      <c r="D112" s="2" t="s">
        <v>25</v>
      </c>
      <c r="E112" s="2" t="s">
        <v>26</v>
      </c>
      <c r="F112">
        <v>851</v>
      </c>
      <c r="G112">
        <v>692</v>
      </c>
      <c r="H112">
        <v>367</v>
      </c>
      <c r="I112">
        <v>356</v>
      </c>
      <c r="J112">
        <v>31</v>
      </c>
      <c r="K112" t="s">
        <v>27</v>
      </c>
      <c r="L112" s="2" t="s">
        <v>41</v>
      </c>
      <c r="M112">
        <f xml:space="preserve"> Production_Inventory_Raw_Data[[#This Row],[Forecast Demand]]*10%</f>
        <v>85.100000000000009</v>
      </c>
      <c r="N112">
        <f>MAX(0,Production_Inventory_Raw_Data[[#This Row],[Forecast Demand]]-Production_Inventory_Raw_Data[[#This Row],[Closing Stock]]+Production_Inventory_Raw_Data[[#This Row],[Safety stock]])</f>
        <v>905.1</v>
      </c>
    </row>
    <row r="113" spans="1:14" x14ac:dyDescent="0.25">
      <c r="A113" s="1">
        <v>46116</v>
      </c>
      <c r="B113" s="2" t="s">
        <v>30</v>
      </c>
      <c r="C113" s="2" t="s">
        <v>31</v>
      </c>
      <c r="D113" s="2" t="s">
        <v>14</v>
      </c>
      <c r="E113" s="2" t="s">
        <v>35</v>
      </c>
      <c r="F113">
        <v>405</v>
      </c>
      <c r="G113">
        <v>299</v>
      </c>
      <c r="H113">
        <v>452</v>
      </c>
      <c r="I113">
        <v>652</v>
      </c>
      <c r="J113">
        <v>805</v>
      </c>
      <c r="K113" t="s">
        <v>16</v>
      </c>
      <c r="L113" s="2" t="s">
        <v>36</v>
      </c>
      <c r="M113">
        <f xml:space="preserve"> Production_Inventory_Raw_Data[[#This Row],[Forecast Demand]]*10%</f>
        <v>40.5</v>
      </c>
      <c r="N113">
        <f>MAX(0,Production_Inventory_Raw_Data[[#This Row],[Forecast Demand]]-Production_Inventory_Raw_Data[[#This Row],[Closing Stock]]+Production_Inventory_Raw_Data[[#This Row],[Safety stock]])</f>
        <v>0</v>
      </c>
    </row>
    <row r="114" spans="1:14" x14ac:dyDescent="0.25">
      <c r="A114" s="1">
        <v>46109</v>
      </c>
      <c r="B114" s="2" t="s">
        <v>30</v>
      </c>
      <c r="C114" s="2" t="s">
        <v>31</v>
      </c>
      <c r="D114" s="2" t="s">
        <v>14</v>
      </c>
      <c r="E114" s="2" t="s">
        <v>15</v>
      </c>
      <c r="F114">
        <v>463</v>
      </c>
      <c r="G114">
        <v>447</v>
      </c>
      <c r="H114">
        <v>462</v>
      </c>
      <c r="I114">
        <v>402</v>
      </c>
      <c r="J114">
        <v>417</v>
      </c>
      <c r="K114" t="s">
        <v>16</v>
      </c>
      <c r="L114" s="2" t="s">
        <v>29</v>
      </c>
      <c r="M114">
        <f xml:space="preserve"> Production_Inventory_Raw_Data[[#This Row],[Forecast Demand]]*10%</f>
        <v>46.300000000000004</v>
      </c>
      <c r="N114">
        <f>MAX(0,Production_Inventory_Raw_Data[[#This Row],[Forecast Demand]]-Production_Inventory_Raw_Data[[#This Row],[Closing Stock]]+Production_Inventory_Raw_Data[[#This Row],[Safety stock]])</f>
        <v>92.300000000000011</v>
      </c>
    </row>
    <row r="115" spans="1:14" x14ac:dyDescent="0.25">
      <c r="A115" s="1">
        <v>46195</v>
      </c>
      <c r="B115" s="2" t="s">
        <v>18</v>
      </c>
      <c r="C115" s="2" t="s">
        <v>19</v>
      </c>
      <c r="D115" s="2" t="s">
        <v>20</v>
      </c>
      <c r="E115" s="2" t="s">
        <v>35</v>
      </c>
      <c r="F115">
        <v>326</v>
      </c>
      <c r="G115">
        <v>286</v>
      </c>
      <c r="H115">
        <v>238</v>
      </c>
      <c r="I115">
        <v>788</v>
      </c>
      <c r="J115">
        <v>740</v>
      </c>
      <c r="K115" t="s">
        <v>16</v>
      </c>
      <c r="L115" s="2" t="s">
        <v>41</v>
      </c>
      <c r="M115">
        <f xml:space="preserve"> Production_Inventory_Raw_Data[[#This Row],[Forecast Demand]]*10%</f>
        <v>32.6</v>
      </c>
      <c r="N115">
        <f>MAX(0,Production_Inventory_Raw_Data[[#This Row],[Forecast Demand]]-Production_Inventory_Raw_Data[[#This Row],[Closing Stock]]+Production_Inventory_Raw_Data[[#This Row],[Safety stock]])</f>
        <v>0</v>
      </c>
    </row>
    <row r="116" spans="1:14" x14ac:dyDescent="0.25">
      <c r="A116" s="1">
        <v>46093</v>
      </c>
      <c r="B116" s="2" t="s">
        <v>18</v>
      </c>
      <c r="C116" s="2" t="s">
        <v>19</v>
      </c>
      <c r="D116" s="2" t="s">
        <v>20</v>
      </c>
      <c r="E116" s="2" t="s">
        <v>26</v>
      </c>
      <c r="F116">
        <v>860</v>
      </c>
      <c r="G116">
        <v>785</v>
      </c>
      <c r="H116">
        <v>81</v>
      </c>
      <c r="I116">
        <v>507</v>
      </c>
      <c r="J116">
        <v>0</v>
      </c>
      <c r="K116" t="s">
        <v>27</v>
      </c>
      <c r="L116" s="2" t="s">
        <v>29</v>
      </c>
      <c r="M116">
        <f xml:space="preserve"> Production_Inventory_Raw_Data[[#This Row],[Forecast Demand]]*10%</f>
        <v>86</v>
      </c>
      <c r="N116">
        <f>MAX(0,Production_Inventory_Raw_Data[[#This Row],[Forecast Demand]]-Production_Inventory_Raw_Data[[#This Row],[Closing Stock]]+Production_Inventory_Raw_Data[[#This Row],[Safety stock]])</f>
        <v>946</v>
      </c>
    </row>
    <row r="117" spans="1:14" x14ac:dyDescent="0.25">
      <c r="A117" s="1">
        <v>46187</v>
      </c>
      <c r="B117" s="2" t="s">
        <v>12</v>
      </c>
      <c r="C117" s="2" t="s">
        <v>13</v>
      </c>
      <c r="D117" s="2" t="s">
        <v>14</v>
      </c>
      <c r="E117" s="2" t="s">
        <v>15</v>
      </c>
      <c r="F117">
        <v>665</v>
      </c>
      <c r="G117">
        <v>488</v>
      </c>
      <c r="H117">
        <v>389</v>
      </c>
      <c r="I117">
        <v>317</v>
      </c>
      <c r="J117">
        <v>218</v>
      </c>
      <c r="K117" t="s">
        <v>21</v>
      </c>
      <c r="L117" s="2" t="s">
        <v>41</v>
      </c>
      <c r="M117">
        <f xml:space="preserve"> Production_Inventory_Raw_Data[[#This Row],[Forecast Demand]]*10%</f>
        <v>66.5</v>
      </c>
      <c r="N117">
        <f>MAX(0,Production_Inventory_Raw_Data[[#This Row],[Forecast Demand]]-Production_Inventory_Raw_Data[[#This Row],[Closing Stock]]+Production_Inventory_Raw_Data[[#This Row],[Safety stock]])</f>
        <v>513.5</v>
      </c>
    </row>
    <row r="118" spans="1:14" x14ac:dyDescent="0.25">
      <c r="A118" s="1"/>
      <c r="B118" s="2"/>
      <c r="C118" s="2"/>
      <c r="D118" s="2"/>
      <c r="E118" s="2"/>
      <c r="F118">
        <f>SUM(Production_Inventory_Raw_Data[Forecast Demand])</f>
        <v>73836</v>
      </c>
      <c r="G118">
        <f>SUM(Production_Inventory_Raw_Data[Actual Sales])</f>
        <v>63577</v>
      </c>
      <c r="I118">
        <f>SUM(Production_Inventory_Raw_Data[Production Quantity])</f>
        <v>58433</v>
      </c>
      <c r="K118">
        <f>COUNTIF(Production_Inventory_Raw_Data[Inventory Status],"Low stock")</f>
        <v>38</v>
      </c>
      <c r="L118" s="2"/>
      <c r="M118" s="2"/>
      <c r="N118"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F0293-ACCF-4CA9-9681-EC33973D1D4A}">
  <dimension ref="A3:Q14"/>
  <sheetViews>
    <sheetView workbookViewId="0">
      <selection activeCell="A3" sqref="A3"/>
    </sheetView>
  </sheetViews>
  <sheetFormatPr defaultRowHeight="13.8" x14ac:dyDescent="0.25"/>
  <cols>
    <col min="1" max="1" width="12.59765625" bestFit="1" customWidth="1"/>
    <col min="2" max="2" width="23.3984375" bestFit="1" customWidth="1"/>
    <col min="3" max="3" width="18.19921875" bestFit="1" customWidth="1"/>
    <col min="4" max="4" width="24.8984375" bestFit="1" customWidth="1"/>
    <col min="6" max="6" width="12.59765625" bestFit="1" customWidth="1"/>
    <col min="7" max="7" width="12.09765625" customWidth="1"/>
    <col min="9" max="9" width="12.59765625" bestFit="1" customWidth="1"/>
    <col min="10" max="10" width="18.19921875" bestFit="1" customWidth="1"/>
    <col min="11" max="11" width="24.8984375" bestFit="1" customWidth="1"/>
    <col min="13" max="13" width="12.59765625" bestFit="1" customWidth="1"/>
    <col min="14" max="14" width="23.3984375" bestFit="1" customWidth="1"/>
    <col min="15" max="15" width="24.8984375" bestFit="1" customWidth="1"/>
    <col min="16" max="16" width="12.5" customWidth="1"/>
    <col min="17" max="17" width="17.59765625" customWidth="1"/>
  </cols>
  <sheetData>
    <row r="3" spans="1:17" x14ac:dyDescent="0.25">
      <c r="A3" s="3" t="s">
        <v>51</v>
      </c>
      <c r="B3" t="s">
        <v>53</v>
      </c>
      <c r="C3" t="s">
        <v>54</v>
      </c>
      <c r="D3" t="s">
        <v>55</v>
      </c>
      <c r="F3" s="3" t="s">
        <v>51</v>
      </c>
      <c r="G3" t="s">
        <v>56</v>
      </c>
      <c r="I3" s="3" t="s">
        <v>51</v>
      </c>
      <c r="J3" t="s">
        <v>54</v>
      </c>
      <c r="K3" t="s">
        <v>55</v>
      </c>
      <c r="M3" s="3" t="s">
        <v>51</v>
      </c>
      <c r="N3" t="s">
        <v>53</v>
      </c>
      <c r="O3" t="s">
        <v>55</v>
      </c>
      <c r="P3" s="3" t="s">
        <v>51</v>
      </c>
      <c r="Q3" t="s">
        <v>54</v>
      </c>
    </row>
    <row r="4" spans="1:17" x14ac:dyDescent="0.25">
      <c r="A4" s="4" t="s">
        <v>40</v>
      </c>
      <c r="B4" s="2">
        <v>9822</v>
      </c>
      <c r="C4" s="2">
        <v>8587</v>
      </c>
      <c r="D4" s="2">
        <v>9128</v>
      </c>
      <c r="F4" s="4" t="s">
        <v>16</v>
      </c>
      <c r="G4" s="2">
        <v>53</v>
      </c>
      <c r="I4" s="4" t="s">
        <v>35</v>
      </c>
      <c r="J4" s="2">
        <v>13876</v>
      </c>
      <c r="K4" s="2">
        <v>15819</v>
      </c>
      <c r="M4" s="4" t="s">
        <v>22</v>
      </c>
      <c r="N4" s="2">
        <v>10565</v>
      </c>
      <c r="O4" s="2">
        <v>9537</v>
      </c>
      <c r="P4" s="4" t="s">
        <v>38</v>
      </c>
      <c r="Q4" s="2">
        <v>5640</v>
      </c>
    </row>
    <row r="5" spans="1:17" x14ac:dyDescent="0.25">
      <c r="A5" s="4" t="s">
        <v>33</v>
      </c>
      <c r="B5" s="2">
        <v>3925</v>
      </c>
      <c r="C5" s="2">
        <v>3133</v>
      </c>
      <c r="D5" s="2">
        <v>2740</v>
      </c>
      <c r="F5" s="4" t="s">
        <v>27</v>
      </c>
      <c r="G5" s="2">
        <v>38</v>
      </c>
      <c r="I5" s="4" t="s">
        <v>15</v>
      </c>
      <c r="J5" s="2">
        <v>16529</v>
      </c>
      <c r="K5" s="2">
        <v>16360</v>
      </c>
      <c r="M5" s="4" t="s">
        <v>17</v>
      </c>
      <c r="N5" s="2">
        <v>13817</v>
      </c>
      <c r="O5" s="2">
        <v>10278</v>
      </c>
      <c r="P5" s="4" t="s">
        <v>45</v>
      </c>
      <c r="Q5" s="2">
        <v>6427</v>
      </c>
    </row>
    <row r="6" spans="1:17" x14ac:dyDescent="0.25">
      <c r="A6" s="4" t="s">
        <v>19</v>
      </c>
      <c r="B6" s="2">
        <v>9796</v>
      </c>
      <c r="C6" s="2">
        <v>8097</v>
      </c>
      <c r="D6" s="2">
        <v>9134</v>
      </c>
      <c r="F6" s="4" t="s">
        <v>21</v>
      </c>
      <c r="G6" s="2">
        <v>25</v>
      </c>
      <c r="I6" s="4" t="s">
        <v>26</v>
      </c>
      <c r="J6" s="2">
        <v>14741</v>
      </c>
      <c r="K6" s="2">
        <v>13186</v>
      </c>
      <c r="M6" s="4" t="s">
        <v>29</v>
      </c>
      <c r="N6" s="2">
        <v>11678</v>
      </c>
      <c r="O6" s="2">
        <v>8397</v>
      </c>
      <c r="P6" s="4" t="s">
        <v>13</v>
      </c>
      <c r="Q6" s="2">
        <v>7211</v>
      </c>
    </row>
    <row r="7" spans="1:17" x14ac:dyDescent="0.25">
      <c r="A7" s="4" t="s">
        <v>43</v>
      </c>
      <c r="B7" s="2">
        <v>8297</v>
      </c>
      <c r="C7" s="2">
        <v>7313</v>
      </c>
      <c r="D7" s="2">
        <v>7333</v>
      </c>
      <c r="F7" s="4" t="s">
        <v>52</v>
      </c>
      <c r="G7" s="2">
        <v>116</v>
      </c>
      <c r="I7" s="4" t="s">
        <v>46</v>
      </c>
      <c r="J7" s="2">
        <v>18431</v>
      </c>
      <c r="K7" s="2">
        <v>13068</v>
      </c>
      <c r="M7" s="4" t="s">
        <v>36</v>
      </c>
      <c r="N7" s="2">
        <v>10080</v>
      </c>
      <c r="O7" s="2">
        <v>8348</v>
      </c>
      <c r="P7" s="4" t="s">
        <v>48</v>
      </c>
      <c r="Q7" s="2">
        <v>3418</v>
      </c>
    </row>
    <row r="8" spans="1:17" x14ac:dyDescent="0.25">
      <c r="A8" s="4" t="s">
        <v>31</v>
      </c>
      <c r="B8" s="2">
        <v>5705</v>
      </c>
      <c r="C8" s="2">
        <v>5094</v>
      </c>
      <c r="D8" s="2">
        <v>4788</v>
      </c>
      <c r="I8" s="4" t="s">
        <v>52</v>
      </c>
      <c r="J8" s="2">
        <v>63577</v>
      </c>
      <c r="K8" s="2">
        <v>58433</v>
      </c>
      <c r="M8" s="4" t="s">
        <v>28</v>
      </c>
      <c r="N8" s="2">
        <v>12485</v>
      </c>
      <c r="O8" s="2">
        <v>9835</v>
      </c>
      <c r="P8" s="4" t="s">
        <v>24</v>
      </c>
      <c r="Q8" s="2">
        <v>8657</v>
      </c>
    </row>
    <row r="9" spans="1:17" x14ac:dyDescent="0.25">
      <c r="A9" s="4" t="s">
        <v>24</v>
      </c>
      <c r="B9" s="2">
        <v>9693</v>
      </c>
      <c r="C9" s="2">
        <v>8657</v>
      </c>
      <c r="D9" s="2">
        <v>6982</v>
      </c>
      <c r="M9" s="4" t="s">
        <v>41</v>
      </c>
      <c r="N9" s="2">
        <v>15211</v>
      </c>
      <c r="O9" s="2">
        <v>12038</v>
      </c>
      <c r="P9" s="4" t="s">
        <v>31</v>
      </c>
      <c r="Q9" s="2">
        <v>5094</v>
      </c>
    </row>
    <row r="10" spans="1:17" x14ac:dyDescent="0.25">
      <c r="A10" s="4" t="s">
        <v>48</v>
      </c>
      <c r="B10" s="2">
        <v>3939</v>
      </c>
      <c r="C10" s="2">
        <v>3418</v>
      </c>
      <c r="D10" s="2">
        <v>2783</v>
      </c>
      <c r="M10" s="4" t="s">
        <v>52</v>
      </c>
      <c r="N10" s="2">
        <v>73836</v>
      </c>
      <c r="O10" s="2">
        <v>58433</v>
      </c>
      <c r="P10" s="4" t="s">
        <v>43</v>
      </c>
      <c r="Q10" s="2">
        <v>7313</v>
      </c>
    </row>
    <row r="11" spans="1:17" x14ac:dyDescent="0.25">
      <c r="A11" s="4" t="s">
        <v>13</v>
      </c>
      <c r="B11" s="2">
        <v>8289</v>
      </c>
      <c r="C11" s="2">
        <v>7211</v>
      </c>
      <c r="D11" s="2">
        <v>6458</v>
      </c>
      <c r="P11" s="4" t="s">
        <v>19</v>
      </c>
      <c r="Q11" s="2">
        <v>8097</v>
      </c>
    </row>
    <row r="12" spans="1:17" x14ac:dyDescent="0.25">
      <c r="A12" s="4" t="s">
        <v>45</v>
      </c>
      <c r="B12" s="2">
        <v>7651</v>
      </c>
      <c r="C12" s="2">
        <v>6427</v>
      </c>
      <c r="D12" s="2">
        <v>5021</v>
      </c>
      <c r="P12" s="4" t="s">
        <v>33</v>
      </c>
      <c r="Q12" s="2">
        <v>3133</v>
      </c>
    </row>
    <row r="13" spans="1:17" x14ac:dyDescent="0.25">
      <c r="A13" s="4" t="s">
        <v>38</v>
      </c>
      <c r="B13" s="2">
        <v>6719</v>
      </c>
      <c r="C13" s="2">
        <v>5640</v>
      </c>
      <c r="D13" s="2">
        <v>4066</v>
      </c>
      <c r="P13" s="4" t="s">
        <v>40</v>
      </c>
      <c r="Q13" s="2">
        <v>8587</v>
      </c>
    </row>
    <row r="14" spans="1:17" x14ac:dyDescent="0.25">
      <c r="A14" s="4" t="s">
        <v>52</v>
      </c>
      <c r="B14" s="2">
        <v>73836</v>
      </c>
      <c r="C14" s="2">
        <v>63577</v>
      </c>
      <c r="D14" s="2">
        <v>58433</v>
      </c>
      <c r="P14" s="4" t="s">
        <v>52</v>
      </c>
      <c r="Q14" s="2">
        <v>63577</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E5FFE-D625-4362-BD7F-582333D13081}">
  <dimension ref="B5:B6"/>
  <sheetViews>
    <sheetView showGridLines="0" tabSelected="1" topLeftCell="A26" zoomScale="94" zoomScaleNormal="94" workbookViewId="0">
      <selection activeCell="F46" sqref="F46"/>
    </sheetView>
  </sheetViews>
  <sheetFormatPr defaultRowHeight="13.8" x14ac:dyDescent="0.25"/>
  <sheetData>
    <row r="5" spans="2:2" ht="14.4" thickBot="1" x14ac:dyDescent="0.3"/>
    <row r="6" spans="2:2" ht="14.4" thickTop="1" x14ac:dyDescent="0.25">
      <c r="B6" s="5">
        <f>SUM(Production_Inventory_Raw_Data[Forecast Demand])</f>
        <v>73836</v>
      </c>
    </row>
  </sheetData>
  <pageMargins left="0.70866141732283472" right="0.70866141732283472" top="0.74803149606299213" bottom="0.74803149606299213" header="0.31496062992125984" footer="0.31496062992125984"/>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93447E-AFEA-47FC-9A87-F7D9724AE3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Production_Inventory_Raw_Data</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Anuradha Gonjari</dc:creator>
  <cp:lastModifiedBy>Anuradha Gonjari</cp:lastModifiedBy>
  <cp:lastPrinted>2026-07-01T13:42:21Z</cp:lastPrinted>
  <dcterms:created xsi:type="dcterms:W3CDTF">2026-07-01T06:21:58Z</dcterms:created>
  <dcterms:modified xsi:type="dcterms:W3CDTF">2026-07-01T18:02:46Z</dcterms:modified>
</cp:coreProperties>
</file>